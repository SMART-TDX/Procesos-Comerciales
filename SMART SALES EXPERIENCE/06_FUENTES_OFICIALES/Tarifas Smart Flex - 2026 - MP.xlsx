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cre IPC 2025" sheetId="1" r:id="rId4"/>
    <sheet state="visible" name="Tarifas Nuevas Ing Flex Pack" sheetId="2" r:id="rId5"/>
    <sheet state="visible" name="Tarifas Nuevas Flex Nivel-Nivel" sheetId="3" r:id="rId6"/>
    <sheet state="visible" name="Modelo actual Smart Flex" sheetId="4" r:id="rId7"/>
  </sheets>
  <externalReferences>
    <externalReference r:id="rId8"/>
    <externalReference r:id="rId9"/>
  </externalReferences>
  <definedNames>
    <definedName name="_1_Modulo">[1]Tablas!$AC$1:$AD$10</definedName>
    <definedName name="_2_Modulos">[1]Tablas!$AF$1:$AH$6</definedName>
    <definedName name="_3_Modulos">[1]Tablas!$AJ$1:$AL$5</definedName>
    <definedName name="_4_Modulos">[1]Tablas!$AN$1:$AP$4</definedName>
    <definedName name="CuotaInicial">[1]!Tabla7[#All]</definedName>
    <definedName name="Descuentos">[1]!Tabla6[#All]</definedName>
    <definedName name="Descuentos_Especiales">[1]!Tabla3[#All]</definedName>
    <definedName name="Plazos">[1]!Tabla5[#All]</definedName>
    <definedName name="Precios_plenos">[1]Tablas!$A$1:$D$7</definedName>
    <definedName localSheetId="2" name="ASDASDA">#REF!</definedName>
    <definedName localSheetId="2" name="UN_NIVEL">#REF!</definedName>
    <definedName name="DASDASDASD">#REF!</definedName>
    <definedName localSheetId="2" name="DASDASDASD">#REF!</definedName>
    <definedName localSheetId="3" name="ASDASDA">#REF!</definedName>
    <definedName localSheetId="3" name="_2_NIVELES">#REF!</definedName>
    <definedName localSheetId="3" name="_3333">#REF!</definedName>
    <definedName localSheetId="3" name="DASDASDASD">#REF!</definedName>
    <definedName name="_2_NIVELES">#REF!</definedName>
    <definedName name="DSDS">#REF!</definedName>
    <definedName localSheetId="2" name="NIVELES">#REF!</definedName>
    <definedName localSheetId="3" name="NIVELES">#REF!</definedName>
    <definedName localSheetId="3" name="DSDS">#REF!</definedName>
    <definedName name="FDSFSDF">#REF!</definedName>
    <definedName name="UN_NIVEL">#REF!</definedName>
    <definedName localSheetId="2" name="FDSFSDF">#REF!</definedName>
    <definedName localSheetId="2" name="_2_NIVELES">#REF!</definedName>
    <definedName localSheetId="3" name="_3_NIVELES">#REF!</definedName>
    <definedName localSheetId="3" name="FDSFSDF">#REF!</definedName>
    <definedName localSheetId="3" name="SADASDAD">#REF!</definedName>
    <definedName localSheetId="2" name="_3333">#REF!</definedName>
    <definedName localSheetId="2" name="SADASDAD">#REF!</definedName>
    <definedName name="_3_NIVELES">#REF!</definedName>
    <definedName localSheetId="3" name="UN_NIVEL">#REF!</definedName>
    <definedName name="NIVELES">#REF!</definedName>
    <definedName localSheetId="2" name="DSDS">#REF!</definedName>
    <definedName name="SADASDAD">#REF!</definedName>
    <definedName name="_3333">#REF!</definedName>
    <definedName name="ASDASDA">#REF!</definedName>
    <definedName localSheetId="2" name="Propue">#REF!</definedName>
    <definedName name="Propue">#REF!</definedName>
    <definedName localSheetId="2" name="_3_NIVELES">#REF!</definedName>
  </definedNames>
  <calcPr/>
  <extLst>
    <ext uri="GoogleSheetsCustomDataVersion2">
      <go:sheetsCustomData xmlns:go="http://customooxmlschemas.google.com/" r:id="rId10" roundtripDataChecksum="YsnG7IdKkn5YLN0mXUBg6snIzO87n32FVAQXngjl03U="/>
    </ext>
  </extLst>
</workbook>
</file>

<file path=xl/sharedStrings.xml><?xml version="1.0" encoding="utf-8"?>
<sst xmlns="http://schemas.openxmlformats.org/spreadsheetml/2006/main" count="909" uniqueCount="134">
  <si>
    <t>IPC 2025</t>
  </si>
  <si>
    <t>TARIFAS SMART FLEX</t>
  </si>
  <si>
    <t>INCREMENTO IPC 2026</t>
  </si>
  <si>
    <t>2026 FINAL</t>
  </si>
  <si>
    <t>% INCREMENTO</t>
  </si>
  <si>
    <t xml:space="preserve">$ INCREMENTO </t>
  </si>
  <si>
    <t>A1</t>
  </si>
  <si>
    <t>TARIFAS INGLES SMART FLEX 2026
PRECIO AL PUBLICO</t>
  </si>
  <si>
    <t>TARIFAS INGLES SMART FLEX 2026
ALIANZA MASIVA</t>
  </si>
  <si>
    <t>TARIFAS INGLES SMART FLEX 2026
ALIANZA EMPRESARIAL</t>
  </si>
  <si>
    <t>TARIFAS INGLES SMART FLEX 2026
COLABORADOR</t>
  </si>
  <si>
    <t>A2</t>
  </si>
  <si>
    <t>PLAN</t>
  </si>
  <si>
    <t>VALOR FULL PLAN</t>
  </si>
  <si>
    <t>N° CUOTAS</t>
  </si>
  <si>
    <t>B1</t>
  </si>
  <si>
    <t>DESCUENTO</t>
  </si>
  <si>
    <t>CUOTA INICIAL</t>
  </si>
  <si>
    <t>VALOR CUOTAS</t>
  </si>
  <si>
    <t>VALOR TOTAL</t>
  </si>
  <si>
    <t>VALOR HORA</t>
  </si>
  <si>
    <t>B2</t>
  </si>
  <si>
    <t>MAXIMA INTENSIDAD MENSUAL</t>
  </si>
  <si>
    <t>C1</t>
  </si>
  <si>
    <t>6 Meses</t>
  </si>
  <si>
    <t>INICIO A1 A C1</t>
  </si>
  <si>
    <t>TARIFAS INGLES / FRANCES INSTITUTO 2026
PRECIO AL PUBLICO</t>
  </si>
  <si>
    <t>9 Meses</t>
  </si>
  <si>
    <t>Plan 1 Nivel
(90 Horas Académicas Niveles A1 )</t>
  </si>
  <si>
    <t>12 Meses</t>
  </si>
  <si>
    <t>TARIFAS INGLES / FRANCES INSTITUTO 2026
ALIANZA MASIVA - 5% ADICIONAL</t>
  </si>
  <si>
    <t>Preparacion 2H</t>
  </si>
  <si>
    <t>TARIFAS INGLES / FRANCES INSTITUTO 2026
ALIANZA EMPRESARIAL - 10% ADICIONAL</t>
  </si>
  <si>
    <t>TARIFAS INGLES / FRANCES INSTITUTO 2026
COLABORADOR - 15% ADICIONAL</t>
  </si>
  <si>
    <t>Preparacion 4H</t>
  </si>
  <si>
    <t>Smart Chef</t>
  </si>
  <si>
    <t>Smart Office Suite Skills</t>
  </si>
  <si>
    <t>Smart Bussines English</t>
  </si>
  <si>
    <t>TARIFAS INGLES SMART FLEX 2026
PRECIO ALIANZA MASIVA / CAMPAÑA 5% ADICIONAL</t>
  </si>
  <si>
    <t>TARIFAS INGLES SMART FLEX 2026
PRECIO CONVENIO EMPRESARIAL / CAMPAÑA 10% ADICIONAL</t>
  </si>
  <si>
    <t>TARIFAS INGLES SMART FLEX 2026
PRECIO CAMPAÑA PREVENTA / ESPECIAL 15% ADICIONAL</t>
  </si>
  <si>
    <t>TARIFAS SMART FLEX 2026
PRECIO COLABORADOR / 20% ADICIONAL</t>
  </si>
  <si>
    <t>Plan 1 Nivel
(162 Horas Académicas Niveles A1 )</t>
  </si>
  <si>
    <t>Plan 1 nivel
(90 Horas reloj - Nivel A1)</t>
  </si>
  <si>
    <t>Plan 1 Nivel
(114 Horas Académicas Nivel A2)</t>
  </si>
  <si>
    <t>Plan 1 Nivel
(159 Horas Académicas Nivel B1)</t>
  </si>
  <si>
    <t>Plan 1 Nivel
(159 Horas Académicas Niveles B2)</t>
  </si>
  <si>
    <t>Plan 1 Nivel
(162 Horas Académicas Nivel A2)</t>
  </si>
  <si>
    <t>Plan 1 nivel
(114 Horas reloj - Nivel A2)</t>
  </si>
  <si>
    <t>Plan 1 Nivel
(159 Horas Académicas Niveles C1)</t>
  </si>
  <si>
    <t>Plan 2 Niveles
(204 Horas Académicas Niveles A1 y A2)</t>
  </si>
  <si>
    <t>Plan 1 Nivel
(178 Horas Académicas Nivel B1)</t>
  </si>
  <si>
    <t>Plan 2 Niveles
(273 Horas Académicas Niveles A2 y B1)</t>
  </si>
  <si>
    <t>Plan 1 nivel
(159  Horas reloj - Niveles B1, B2 o C1)</t>
  </si>
  <si>
    <t>Plan 1 Nivel
(202 Horas Académicas Nivel B2)</t>
  </si>
  <si>
    <t>Plan 2 Niveles
(318 Horas Académicas Niveles B1 y B2)</t>
  </si>
  <si>
    <t>Plan 1 Nivel
(202 Horas Académicas Niveles C1)</t>
  </si>
  <si>
    <t>Plan 2 Niveles
(318 Horas Académicas Niveles B2 y C1)</t>
  </si>
  <si>
    <t>Plan  2 Niveles 
(204 Horas Reloj - Niveles A1 y A2)</t>
  </si>
  <si>
    <t>TOTAL</t>
  </si>
  <si>
    <t>CONTADO</t>
  </si>
  <si>
    <t>FINANCIADO</t>
  </si>
  <si>
    <t>Plan 3 Niveles
 (363 Horas Académicas Niveles A1, A2 y B1)</t>
  </si>
  <si>
    <t>INICIO A2 A C1</t>
  </si>
  <si>
    <t>TARIFAS INGLES INSTITUTO 2026
PRECIO AL PUBLICO</t>
  </si>
  <si>
    <t>TARIFAS INGLES INSTITUTO 2026
ALIANZA MASIVA</t>
  </si>
  <si>
    <t>TARIFAS INGLES INSTITUTO 2026
ALIANZA EMPRESARIAL</t>
  </si>
  <si>
    <t>TARIFAS INGLES INSTITUTO 2026
COLABORADOR</t>
  </si>
  <si>
    <t>Plan 3 Niveles
 (432 Horas Académicas Niveles A2, B1 y B2)</t>
  </si>
  <si>
    <t>Plan 2 Niveles
(273 Horas Reloj - Niveles A2 y B1)</t>
  </si>
  <si>
    <t>Plan 3 Niveles
 (477 Horas Académicas Niveles B1, B2 y C1)</t>
  </si>
  <si>
    <t>Plan 1 Nivel
(202 Horas Académicas Niveles B2)</t>
  </si>
  <si>
    <t>Plan 4 Niveles
 (522 Horas Académicas Niveles A1, A2, B1 y B2)</t>
  </si>
  <si>
    <t>Plan 2 Niveles
(318 Horas Reloj - Niveles B1 y B2)</t>
  </si>
  <si>
    <t>Plan 4 Niveles
 (591 Horas Académicas Niveles A2, B1, B2 y C1)</t>
  </si>
  <si>
    <t>INICIO B1 A C1</t>
  </si>
  <si>
    <t>Plan 5 Niveles
 (681 Horas Académicas Niveles A1, A2, B1, B2 y C1)</t>
  </si>
  <si>
    <t>Plan 2 Niveles
(318 Horas Reloj - Niveles B2 y C1)</t>
  </si>
  <si>
    <t>CAMPAÑAS JULIO 2026</t>
  </si>
  <si>
    <t>ID CAMPAÑA</t>
  </si>
  <si>
    <t>Campaña Smart flex - publico</t>
  </si>
  <si>
    <t>701WP00000omCi5YAE</t>
  </si>
  <si>
    <t>Campaña Smart Flex - Tu Plan, Tus Cuotas - Público</t>
  </si>
  <si>
    <t>701WP00000pYpkIYAS</t>
  </si>
  <si>
    <t>Campaña Smart flex - Alianza Masiva</t>
  </si>
  <si>
    <t>701WP00000sg3wrYAA</t>
  </si>
  <si>
    <t>Campaña Smart Flex - Tu Plan, Tus Cuotas - Alianza Masiva</t>
  </si>
  <si>
    <t>701WP00000sf4weYAA</t>
  </si>
  <si>
    <t>Campaña Smart flex - convenio empresarial</t>
  </si>
  <si>
    <t>701WP00000pbBiNYAU</t>
  </si>
  <si>
    <t>Campaña Smart Flex - Tu Plan, Tus Cuotas - Convenio empresarial</t>
  </si>
  <si>
    <t>701WP00000pfDyQYAU</t>
  </si>
  <si>
    <t>Campaña Smart flex - preventa</t>
  </si>
  <si>
    <r>
      <rPr>
        <rFont val="Arial"/>
        <color rgb="FF1155CC"/>
        <u/>
      </rPr>
      <t>701WP00000pbHPdYAM</t>
    </r>
  </si>
  <si>
    <t>Campaña Smart Flex - Tu Plan, Tus Cuotas - preventa</t>
  </si>
  <si>
    <t>701WP00000pgjo9YAA</t>
  </si>
  <si>
    <t>Campaña Smart flex - colaborador</t>
  </si>
  <si>
    <t>701WP00000pbJeHYAU</t>
  </si>
  <si>
    <t>Campaña Smart Flex - Tu Plan, Tus Cuotas - Colaborador</t>
  </si>
  <si>
    <t>701WP000015pgBVYAY</t>
  </si>
  <si>
    <t>Campaña Smart Online - Público</t>
  </si>
  <si>
    <r>
      <rPr>
        <rFont val="Arial"/>
        <color rgb="FF1155CC"/>
        <u/>
      </rPr>
      <t>701WP00000jb5h6YAA</t>
    </r>
  </si>
  <si>
    <t>Campaña Smart Online - Tu Plan, Tus Cuotas - Público</t>
  </si>
  <si>
    <t>701WP00000jcLr8YAE</t>
  </si>
  <si>
    <r>
      <rPr>
        <rFont val="Arial"/>
        <color rgb="FF1155CC"/>
        <u/>
      </rPr>
      <t>Campaña Smart Online - Convenio</t>
    </r>
    <r>
      <rPr>
        <rFont val="Arial"/>
        <color rgb="FF1155CC"/>
        <u/>
      </rPr>
      <t>s</t>
    </r>
  </si>
  <si>
    <t>INICIO B2 A C1</t>
  </si>
  <si>
    <r>
      <rPr>
        <rFont val="Arial"/>
        <color rgb="FF1155CC"/>
        <u/>
      </rPr>
      <t>701WP00000jcJfnYAE</t>
    </r>
  </si>
  <si>
    <r>
      <rPr>
        <rFont val="Arial"/>
        <color rgb="FF1155CC"/>
        <u/>
      </rPr>
      <t>Campaña Smart Online - Tu Plan, Tus Cuotas - Convenio</t>
    </r>
    <r>
      <rPr>
        <rFont val="Arial"/>
        <color rgb="FF1155CC"/>
        <u/>
      </rPr>
      <t>s</t>
    </r>
  </si>
  <si>
    <t>701WP00000jayqLYAQ</t>
  </si>
  <si>
    <r>
      <rPr>
        <rFont val="Arial"/>
        <color rgb="FF1155CC"/>
        <u/>
      </rPr>
      <t>Campaña Smart Online - 2x1 - Beca</t>
    </r>
  </si>
  <si>
    <r>
      <rPr>
        <rFont val="Arial"/>
        <color rgb="FF1155CC"/>
        <u/>
      </rPr>
      <t>701WP00001H1bXtYAJ</t>
    </r>
  </si>
  <si>
    <t>Campaña Smart flex - publico - Mp</t>
  </si>
  <si>
    <t>701WP00001KmkT7YAJ</t>
  </si>
  <si>
    <t>Plan 3 Niveles
 (363 Horas Reloj - Niveles A1, A2 y B1)</t>
  </si>
  <si>
    <t>Campaña Smart flex - publico - Mp - Tu plan, Tus cuotas</t>
  </si>
  <si>
    <t>701WP00001KoJJbYAN</t>
  </si>
  <si>
    <t>Campaña Smart flex - Alianza Masiva - Mp</t>
  </si>
  <si>
    <t>701WP00001Ko3GSYAZ</t>
  </si>
  <si>
    <t>Campaña Smart flex - Alianza Masiva - Mp - Tu Plan, tus cuotas</t>
  </si>
  <si>
    <t>701WP00001Ko02XYAR</t>
  </si>
  <si>
    <t>Campaña Smart flex - Alianza Empresarial - Mp</t>
  </si>
  <si>
    <t>701WP00001KoUBnYAN</t>
  </si>
  <si>
    <t>Campaña Smart flex - Alianza Empresarial - Mp - Tu plan, Tus cuotas</t>
  </si>
  <si>
    <t>701WP00001KnATsYAN</t>
  </si>
  <si>
    <t>Campaña Smart flex - colaborador - Mp</t>
  </si>
  <si>
    <t>701WP00001Kp7ZiYAJ</t>
  </si>
  <si>
    <t>Campaña Smart flex - colaborador - Mp-Tu plan, tus cuotas</t>
  </si>
  <si>
    <t>701WP00001Kp0i2YAB</t>
  </si>
  <si>
    <t>Plan 3 Niveles
 (432 Horas Reloj - Niveles A2, B1 y B2)</t>
  </si>
  <si>
    <t>INICIO C1</t>
  </si>
  <si>
    <t>Plan 3 Niveles
 (477 Horas Reloj - Niveles B1, B2 y C1)</t>
  </si>
  <si>
    <t>Plan 4 Niveles
 (522 Horas Reloj Niveles A1, A2 , B1 y B2)</t>
  </si>
  <si>
    <t>Plan 4 Niveles
 (591 Horas Reloj Niveles A2, B1, B2 y C1)</t>
  </si>
  <si>
    <t>Plan Completo 5 Niveles
 (681 Horas Reloj -  Niveles A1, A2, B1, B2 y C1)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</si>
</sst>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$&quot;* #,##0_-;\-&quot;$&quot;* #,##0_-;_-&quot;$&quot;* &quot;-&quot;??_-;_-@"/>
    <numFmt numFmtId="165" formatCode="_-&quot;$&quot;\ * #,##0_-;\-&quot;$&quot;\ * #,##0_-;_-&quot;$&quot;\ * &quot;-&quot;??_-;_-@"/>
    <numFmt numFmtId="166" formatCode="[$$-240A]\ #,##0"/>
    <numFmt numFmtId="167" formatCode="_-&quot;$&quot;\ * #,##0_-;\-&quot;$&quot;\ * #,##0_-;_-&quot;$&quot;\ * &quot;-&quot;_-;_-@"/>
  </numFmts>
  <fonts count="34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sz val="11.0"/>
      <color theme="1"/>
      <name val="Aptos Narrow"/>
    </font>
    <font>
      <sz val="16.0"/>
      <color theme="1"/>
      <name val="Calibri"/>
    </font>
    <font>
      <sz val="11.0"/>
      <color theme="0"/>
      <name val="Aptos Narrow"/>
    </font>
    <font>
      <b/>
      <sz val="9.0"/>
      <color rgb="FF000000"/>
      <name val="Calibri"/>
    </font>
    <font>
      <b/>
      <sz val="9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b/>
      <sz val="11.0"/>
      <color theme="1"/>
      <name val="Aptos Narrow"/>
    </font>
    <font>
      <b/>
      <sz val="10.0"/>
      <color theme="1"/>
      <name val="Calibri"/>
    </font>
    <font>
      <b/>
      <sz val="11.0"/>
      <color theme="1"/>
      <name val="Arial"/>
    </font>
    <font>
      <u/>
      <sz val="11.0"/>
      <color rgb="FF0000FF"/>
      <name val="Aptos Narrow"/>
    </font>
    <font>
      <sz val="11.0"/>
      <color rgb="FFFF0000"/>
      <name val="Calibri"/>
    </font>
    <font>
      <b/>
      <sz val="12.0"/>
      <color theme="1"/>
      <name val="Arial"/>
    </font>
    <font>
      <u/>
      <color rgb="FF0563C1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u/>
      <color rgb="FF0563C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-apple-system"/>
    </font>
    <font>
      <u/>
      <color rgb="FF1155CC"/>
      <name val="Arial"/>
    </font>
    <font>
      <color theme="1"/>
      <name val="Calibri"/>
      <scheme val="minor"/>
    </font>
    <font>
      <u/>
      <color rgb="FF0000FF"/>
    </font>
    <font>
      <u/>
      <color rgb="FF0563C1"/>
    </font>
    <font>
      <sz val="11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C5C2C2"/>
        <bgColor rgb="FFC5C2C2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  <fill>
      <patternFill patternType="solid">
        <fgColor rgb="FFF2F96B"/>
        <bgColor rgb="FFF2F96B"/>
      </patternFill>
    </fill>
    <fill>
      <patternFill patternType="solid">
        <fgColor rgb="FFB3E5A1"/>
        <bgColor rgb="FFB3E5A1"/>
      </patternFill>
    </fill>
    <fill>
      <patternFill patternType="solid">
        <fgColor rgb="FFD0D0D0"/>
        <bgColor rgb="FFD0D0D0"/>
      </patternFill>
    </fill>
    <fill>
      <patternFill patternType="solid">
        <fgColor rgb="FFC5E0B3"/>
        <bgColor rgb="FFC5E0B3"/>
      </patternFill>
    </fill>
    <fill>
      <patternFill patternType="solid">
        <fgColor rgb="FFFAE2D5"/>
        <bgColor rgb="FFFAE2D5"/>
      </patternFill>
    </fill>
    <fill>
      <patternFill patternType="solid">
        <fgColor rgb="FF8EAADB"/>
        <bgColor rgb="FF8EAADB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63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/>
    </xf>
    <xf borderId="0" fillId="0" fontId="2" numFmtId="9" xfId="0" applyFont="1" applyNumberForma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0" fillId="0" fontId="2" numFmtId="164" xfId="0" applyFont="1" applyNumberFormat="1"/>
    <xf borderId="3" fillId="3" fontId="3" numFmtId="0" xfId="0" applyAlignment="1" applyBorder="1" applyFill="1" applyFon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6" fillId="4" fontId="6" numFmtId="0" xfId="0" applyBorder="1" applyFill="1" applyFont="1"/>
    <xf borderId="3" fillId="5" fontId="3" numFmtId="0" xfId="0" applyAlignment="1" applyBorder="1" applyFill="1" applyFont="1">
      <alignment horizontal="center" shrinkToFit="0" wrapText="1"/>
    </xf>
    <xf borderId="0" fillId="0" fontId="7" numFmtId="10" xfId="0" applyAlignment="1" applyFont="1" applyNumberFormat="1">
      <alignment horizontal="center" vertical="center"/>
    </xf>
    <xf borderId="6" fillId="4" fontId="8" numFmtId="9" xfId="0" applyBorder="1" applyFont="1" applyNumberFormat="1"/>
    <xf borderId="3" fillId="6" fontId="3" numFmtId="0" xfId="0" applyAlignment="1" applyBorder="1" applyFill="1" applyFont="1">
      <alignment horizontal="center" shrinkToFit="0" wrapText="1"/>
    </xf>
    <xf borderId="3" fillId="2" fontId="3" numFmtId="0" xfId="0" applyAlignment="1" applyBorder="1" applyFont="1">
      <alignment horizontal="center" shrinkToFit="0" wrapText="1"/>
    </xf>
    <xf borderId="6" fillId="4" fontId="6" numFmtId="0" xfId="0" applyAlignment="1" applyBorder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0" fontId="2" numFmtId="0" xfId="0" applyFont="1"/>
    <xf borderId="0" fillId="0" fontId="2" numFmtId="165" xfId="0" applyFont="1" applyNumberForma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0" fillId="0" fontId="2" numFmtId="10" xfId="0" applyFont="1" applyNumberFormat="1"/>
    <xf borderId="15" fillId="7" fontId="9" numFmtId="0" xfId="0" applyAlignment="1" applyBorder="1" applyFill="1" applyFont="1">
      <alignment horizontal="center" shrinkToFit="0" vertical="center" wrapText="1"/>
    </xf>
    <xf borderId="16" fillId="7" fontId="9" numFmtId="0" xfId="0" applyAlignment="1" applyBorder="1" applyFont="1">
      <alignment horizontal="center" shrinkToFit="0" vertical="center" wrapText="1"/>
    </xf>
    <xf borderId="17" fillId="7" fontId="9" numFmtId="9" xfId="0" applyAlignment="1" applyBorder="1" applyFont="1" applyNumberFormat="1">
      <alignment horizontal="center" shrinkToFit="0" vertical="center" wrapText="1"/>
    </xf>
    <xf borderId="17" fillId="7" fontId="9" numFmtId="0" xfId="0" applyAlignment="1" applyBorder="1" applyFont="1">
      <alignment horizontal="center" shrinkToFit="0" vertical="center" wrapText="1"/>
    </xf>
    <xf borderId="17" fillId="7" fontId="10" numFmtId="166" xfId="0" applyAlignment="1" applyBorder="1" applyFont="1" applyNumberFormat="1">
      <alignment horizontal="center" vertical="center"/>
    </xf>
    <xf borderId="18" fillId="7" fontId="10" numFmtId="0" xfId="0" applyAlignment="1" applyBorder="1" applyFont="1">
      <alignment horizontal="center" shrinkToFit="0" vertical="center" wrapText="1"/>
    </xf>
    <xf borderId="15" fillId="7" fontId="9" numFmtId="9" xfId="0" applyAlignment="1" applyBorder="1" applyFont="1" applyNumberFormat="1">
      <alignment horizontal="center" shrinkToFit="0" vertical="center" wrapText="1"/>
    </xf>
    <xf borderId="15" fillId="7" fontId="10" numFmtId="166" xfId="0" applyAlignment="1" applyBorder="1" applyFont="1" applyNumberFormat="1">
      <alignment horizontal="center" vertical="center"/>
    </xf>
    <xf borderId="15" fillId="7" fontId="10" numFmtId="0" xfId="0" applyAlignment="1" applyBorder="1" applyFont="1">
      <alignment horizontal="center" shrinkToFit="0" vertical="center" wrapText="1"/>
    </xf>
    <xf borderId="19" fillId="3" fontId="3" numFmtId="0" xfId="0" applyAlignment="1" applyBorder="1" applyFont="1">
      <alignment horizontal="center" shrinkToFit="0" vertical="center" wrapText="1"/>
    </xf>
    <xf borderId="20" fillId="4" fontId="6" numFmtId="0" xfId="0" applyBorder="1" applyFont="1"/>
    <xf borderId="21" fillId="3" fontId="3" numFmtId="164" xfId="0" applyAlignment="1" applyBorder="1" applyFont="1" applyNumberFormat="1">
      <alignment horizontal="center" vertical="center"/>
    </xf>
    <xf borderId="22" fillId="4" fontId="6" numFmtId="0" xfId="0" applyBorder="1" applyFont="1"/>
    <xf borderId="23" fillId="3" fontId="2" numFmtId="0" xfId="0" applyAlignment="1" applyBorder="1" applyFont="1">
      <alignment horizontal="center" vertical="center"/>
    </xf>
    <xf borderId="24" fillId="3" fontId="2" numFmtId="9" xfId="0" applyAlignment="1" applyBorder="1" applyFont="1" applyNumberFormat="1">
      <alignment horizontal="center" vertical="center"/>
    </xf>
    <xf borderId="22" fillId="4" fontId="6" numFmtId="0" xfId="0" applyAlignment="1" applyBorder="1" applyFont="1">
      <alignment horizontal="center" vertical="center"/>
    </xf>
    <xf borderId="24" fillId="3" fontId="2" numFmtId="164" xfId="0" applyAlignment="1" applyBorder="1" applyFont="1" applyNumberFormat="1">
      <alignment horizontal="center" vertical="center"/>
    </xf>
    <xf borderId="25" fillId="4" fontId="6" numFmtId="0" xfId="0" applyBorder="1" applyFont="1"/>
    <xf borderId="26" fillId="3" fontId="2" numFmtId="0" xfId="0" applyAlignment="1" applyBorder="1" applyFont="1">
      <alignment horizontal="center" vertical="center"/>
    </xf>
    <xf borderId="15" fillId="8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16" fillId="8" fontId="11" numFmtId="0" xfId="0" applyAlignment="1" applyBorder="1" applyFont="1">
      <alignment horizontal="center" shrinkToFit="0" vertical="center" wrapText="1"/>
    </xf>
    <xf borderId="17" fillId="8" fontId="11" numFmtId="9" xfId="0" applyAlignment="1" applyBorder="1" applyFont="1" applyNumberFormat="1">
      <alignment horizontal="center" shrinkToFit="0" vertical="center" wrapText="1"/>
    </xf>
    <xf borderId="17" fillId="8" fontId="11" numFmtId="0" xfId="0" applyAlignment="1" applyBorder="1" applyFont="1">
      <alignment horizontal="center" shrinkToFit="0" vertical="center" wrapText="1"/>
    </xf>
    <xf borderId="27" fillId="4" fontId="6" numFmtId="0" xfId="0" applyBorder="1" applyFont="1"/>
    <xf borderId="3" fillId="9" fontId="13" numFmtId="0" xfId="0" applyAlignment="1" applyBorder="1" applyFill="1" applyFont="1">
      <alignment horizontal="center" shrinkToFit="0" wrapText="1"/>
    </xf>
    <xf borderId="17" fillId="8" fontId="14" numFmtId="166" xfId="0" applyAlignment="1" applyBorder="1" applyFont="1" applyNumberFormat="1">
      <alignment horizontal="center" vertical="center"/>
    </xf>
    <xf borderId="28" fillId="4" fontId="6" numFmtId="0" xfId="0" applyBorder="1" applyFont="1"/>
    <xf borderId="18" fillId="8" fontId="14" numFmtId="0" xfId="0" applyAlignment="1" applyBorder="1" applyFont="1">
      <alignment horizontal="center" shrinkToFit="0" vertical="center" wrapText="1"/>
    </xf>
    <xf borderId="3" fillId="10" fontId="15" numFmtId="0" xfId="0" applyAlignment="1" applyBorder="1" applyFill="1" applyFont="1">
      <alignment horizontal="center" shrinkToFit="0" wrapText="1"/>
    </xf>
    <xf borderId="15" fillId="8" fontId="11" numFmtId="9" xfId="0" applyAlignment="1" applyBorder="1" applyFont="1" applyNumberFormat="1">
      <alignment horizontal="center" shrinkToFit="0" vertical="center" wrapText="1"/>
    </xf>
    <xf borderId="3" fillId="11" fontId="15" numFmtId="0" xfId="0" applyAlignment="1" applyBorder="1" applyFill="1" applyFont="1">
      <alignment horizontal="center" shrinkToFit="0" wrapText="1"/>
    </xf>
    <xf borderId="15" fillId="8" fontId="14" numFmtId="166" xfId="0" applyAlignment="1" applyBorder="1" applyFont="1" applyNumberFormat="1">
      <alignment horizontal="center" vertical="center"/>
    </xf>
    <xf borderId="3" fillId="12" fontId="13" numFmtId="0" xfId="0" applyAlignment="1" applyBorder="1" applyFill="1" applyFont="1">
      <alignment horizontal="center" shrinkToFit="0" wrapText="1"/>
    </xf>
    <xf borderId="15" fillId="8" fontId="14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center"/>
    </xf>
    <xf borderId="29" fillId="0" fontId="5" numFmtId="0" xfId="0" applyBorder="1" applyFont="1"/>
    <xf borderId="30" fillId="0" fontId="5" numFmtId="0" xfId="0" applyBorder="1" applyFont="1"/>
    <xf borderId="3" fillId="13" fontId="13" numFmtId="0" xfId="0" applyAlignment="1" applyBorder="1" applyFill="1" applyFont="1">
      <alignment horizontal="center" shrinkToFit="0" wrapText="1"/>
    </xf>
    <xf borderId="31" fillId="3" fontId="2" numFmtId="0" xfId="0" applyAlignment="1" applyBorder="1" applyFont="1">
      <alignment horizontal="center" vertical="center"/>
    </xf>
    <xf borderId="32" fillId="3" fontId="2" numFmtId="9" xfId="0" applyAlignment="1" applyBorder="1" applyFont="1" applyNumberFormat="1">
      <alignment horizontal="center" vertical="center"/>
    </xf>
    <xf borderId="32" fillId="3" fontId="2" numFmtId="167" xfId="0" applyAlignment="1" applyBorder="1" applyFont="1" applyNumberFormat="1">
      <alignment horizontal="center" vertical="center"/>
    </xf>
    <xf borderId="32" fillId="3" fontId="2" numFmtId="164" xfId="0" applyAlignment="1" applyBorder="1" applyFont="1" applyNumberFormat="1">
      <alignment horizontal="center" vertical="center"/>
    </xf>
    <xf borderId="33" fillId="3" fontId="2" numFmtId="0" xfId="0" applyAlignment="1" applyBorder="1" applyFont="1">
      <alignment horizontal="center" vertical="center"/>
    </xf>
    <xf borderId="0" fillId="0" fontId="16" numFmtId="0" xfId="0" applyFont="1"/>
    <xf borderId="34" fillId="4" fontId="13" numFmtId="0" xfId="0" applyAlignment="1" applyBorder="1" applyFont="1">
      <alignment horizontal="center" shrinkToFit="0" vertical="center" wrapText="1"/>
    </xf>
    <xf borderId="35" fillId="0" fontId="5" numFmtId="0" xfId="0" applyBorder="1" applyFont="1"/>
    <xf borderId="36" fillId="0" fontId="5" numFmtId="0" xfId="0" applyBorder="1" applyFont="1"/>
    <xf borderId="37" fillId="3" fontId="2" numFmtId="164" xfId="0" applyAlignment="1" applyBorder="1" applyFont="1" applyNumberFormat="1">
      <alignment horizontal="center" vertical="center"/>
    </xf>
    <xf borderId="6" fillId="4" fontId="13" numFmtId="0" xfId="0" applyAlignment="1" applyBorder="1" applyFont="1">
      <alignment horizontal="center" shrinkToFit="0" vertical="center" wrapText="1"/>
    </xf>
    <xf borderId="38" fillId="9" fontId="9" numFmtId="0" xfId="0" applyAlignment="1" applyBorder="1" applyFont="1">
      <alignment horizontal="center" shrinkToFit="0" vertical="center" wrapText="1"/>
    </xf>
    <xf borderId="38" fillId="4" fontId="9" numFmtId="0" xfId="0" applyAlignment="1" applyBorder="1" applyFont="1">
      <alignment horizontal="center" shrinkToFit="0" vertical="center" wrapText="1"/>
    </xf>
    <xf borderId="38" fillId="4" fontId="10" numFmtId="166" xfId="0" applyAlignment="1" applyBorder="1" applyFont="1" applyNumberFormat="1">
      <alignment horizontal="center" vertical="center"/>
    </xf>
    <xf borderId="38" fillId="4" fontId="10" numFmtId="0" xfId="0" applyAlignment="1" applyBorder="1" applyFont="1">
      <alignment horizontal="center" shrinkToFit="0" vertical="center" wrapText="1"/>
    </xf>
    <xf borderId="39" fillId="9" fontId="9" numFmtId="0" xfId="0" applyAlignment="1" applyBorder="1" applyFont="1">
      <alignment horizontal="center" shrinkToFit="0" vertical="center" wrapText="1"/>
    </xf>
    <xf borderId="39" fillId="4" fontId="9" numFmtId="0" xfId="0" applyAlignment="1" applyBorder="1" applyFont="1">
      <alignment horizontal="center" shrinkToFit="0" vertical="center" wrapText="1"/>
    </xf>
    <xf borderId="40" fillId="4" fontId="9" numFmtId="0" xfId="0" applyAlignment="1" applyBorder="1" applyFont="1">
      <alignment horizontal="center" shrinkToFit="0" vertical="center" wrapText="1"/>
    </xf>
    <xf borderId="39" fillId="4" fontId="10" numFmtId="166" xfId="0" applyAlignment="1" applyBorder="1" applyFont="1" applyNumberFormat="1">
      <alignment horizontal="center" vertical="center"/>
    </xf>
    <xf borderId="39" fillId="4" fontId="10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41" fillId="9" fontId="13" numFmtId="164" xfId="0" applyAlignment="1" applyBorder="1" applyFont="1" applyNumberFormat="1">
      <alignment horizontal="center" vertical="center"/>
    </xf>
    <xf borderId="38" fillId="4" fontId="6" numFmtId="0" xfId="0" applyAlignment="1" applyBorder="1" applyFont="1">
      <alignment horizontal="center" vertical="center"/>
    </xf>
    <xf borderId="38" fillId="4" fontId="6" numFmtId="10" xfId="0" applyAlignment="1" applyBorder="1" applyFont="1" applyNumberFormat="1">
      <alignment horizontal="center" vertical="center"/>
    </xf>
    <xf borderId="38" fillId="4" fontId="6" numFmtId="164" xfId="0" applyAlignment="1" applyBorder="1" applyFont="1" applyNumberFormat="1">
      <alignment horizontal="center" vertical="center"/>
    </xf>
    <xf borderId="42" fillId="0" fontId="5" numFmtId="0" xfId="0" applyBorder="1" applyFont="1"/>
    <xf borderId="38" fillId="4" fontId="6" numFmtId="167" xfId="0" applyAlignment="1" applyBorder="1" applyFont="1" applyNumberFormat="1">
      <alignment horizontal="center" vertical="center"/>
    </xf>
    <xf borderId="33" fillId="3" fontId="2" numFmtId="1" xfId="0" applyAlignment="1" applyBorder="1" applyFont="1" applyNumberFormat="1">
      <alignment horizontal="center" vertical="center"/>
    </xf>
    <xf borderId="38" fillId="4" fontId="6" numFmtId="1" xfId="0" applyAlignment="1" applyBorder="1" applyFont="1" applyNumberFormat="1">
      <alignment horizontal="center" vertical="center"/>
    </xf>
    <xf borderId="43" fillId="0" fontId="3" numFmtId="0" xfId="0" applyAlignment="1" applyBorder="1" applyFont="1">
      <alignment horizontal="center" vertical="center"/>
    </xf>
    <xf borderId="44" fillId="0" fontId="3" numFmtId="164" xfId="0" applyAlignment="1" applyBorder="1" applyFont="1" applyNumberFormat="1">
      <alignment horizontal="center" vertical="center"/>
    </xf>
    <xf borderId="43" fillId="0" fontId="2" numFmtId="0" xfId="0" applyAlignment="1" applyBorder="1" applyFont="1">
      <alignment horizontal="center" vertical="center"/>
    </xf>
    <xf borderId="44" fillId="0" fontId="2" numFmtId="9" xfId="0" applyAlignment="1" applyBorder="1" applyFont="1" applyNumberFormat="1">
      <alignment horizontal="center" vertical="center"/>
    </xf>
    <xf borderId="44" fillId="0" fontId="2" numFmtId="167" xfId="0" applyAlignment="1" applyBorder="1" applyFont="1" applyNumberFormat="1">
      <alignment horizontal="center" vertical="center"/>
    </xf>
    <xf borderId="44" fillId="0" fontId="2" numFmtId="164" xfId="0" applyAlignment="1" applyBorder="1" applyFont="1" applyNumberFormat="1">
      <alignment horizontal="center" vertical="center"/>
    </xf>
    <xf borderId="45" fillId="0" fontId="17" numFmtId="164" xfId="0" applyAlignment="1" applyBorder="1" applyFont="1" applyNumberFormat="1">
      <alignment horizontal="center" vertical="center"/>
    </xf>
    <xf borderId="46" fillId="0" fontId="2" numFmtId="0" xfId="0" applyAlignment="1" applyBorder="1" applyFont="1">
      <alignment horizontal="center" vertical="center"/>
    </xf>
    <xf borderId="6" fillId="4" fontId="6" numFmtId="164" xfId="0" applyBorder="1" applyFont="1" applyNumberFormat="1"/>
    <xf borderId="19" fillId="5" fontId="3" numFmtId="0" xfId="0" applyAlignment="1" applyBorder="1" applyFont="1">
      <alignment horizontal="center" shrinkToFit="0" vertical="center" wrapText="1"/>
    </xf>
    <xf borderId="21" fillId="5" fontId="3" numFmtId="164" xfId="0" applyAlignment="1" applyBorder="1" applyFont="1" applyNumberFormat="1">
      <alignment horizontal="center" vertical="center"/>
    </xf>
    <xf borderId="23" fillId="5" fontId="2" numFmtId="0" xfId="0" applyAlignment="1" applyBorder="1" applyFont="1">
      <alignment horizontal="center" vertical="center"/>
    </xf>
    <xf borderId="24" fillId="5" fontId="2" numFmtId="9" xfId="0" applyAlignment="1" applyBorder="1" applyFont="1" applyNumberFormat="1">
      <alignment horizontal="center" vertical="center"/>
    </xf>
    <xf borderId="24" fillId="5" fontId="2" numFmtId="164" xfId="0" applyAlignment="1" applyBorder="1" applyFont="1" applyNumberFormat="1">
      <alignment horizontal="center" vertical="center"/>
    </xf>
    <xf borderId="47" fillId="0" fontId="5" numFmtId="0" xfId="0" applyBorder="1" applyFont="1"/>
    <xf borderId="37" fillId="5" fontId="2" numFmtId="164" xfId="0" applyAlignment="1" applyBorder="1" applyFont="1" applyNumberFormat="1">
      <alignment horizontal="center" vertical="center"/>
    </xf>
    <xf borderId="26" fillId="5" fontId="2" numFmtId="0" xfId="0" applyAlignment="1" applyBorder="1" applyFont="1">
      <alignment horizontal="center" vertical="center"/>
    </xf>
    <xf borderId="40" fillId="4" fontId="10" numFmtId="166" xfId="0" applyAlignment="1" applyBorder="1" applyFont="1" applyNumberFormat="1">
      <alignment horizontal="center" vertical="center"/>
    </xf>
    <xf borderId="48" fillId="4" fontId="6" numFmtId="164" xfId="0" applyAlignment="1" applyBorder="1" applyFont="1" applyNumberFormat="1">
      <alignment horizontal="center" vertical="center"/>
    </xf>
    <xf borderId="31" fillId="5" fontId="2" numFmtId="0" xfId="0" applyAlignment="1" applyBorder="1" applyFont="1">
      <alignment horizontal="center" vertical="center"/>
    </xf>
    <xf borderId="32" fillId="5" fontId="2" numFmtId="9" xfId="0" applyAlignment="1" applyBorder="1" applyFont="1" applyNumberFormat="1">
      <alignment horizontal="center" vertical="center"/>
    </xf>
    <xf borderId="32" fillId="5" fontId="2" numFmtId="167" xfId="0" applyAlignment="1" applyBorder="1" applyFont="1" applyNumberFormat="1">
      <alignment horizontal="center" vertical="center"/>
    </xf>
    <xf borderId="32" fillId="5" fontId="2" numFmtId="164" xfId="0" applyAlignment="1" applyBorder="1" applyFont="1" applyNumberFormat="1">
      <alignment horizontal="center" vertical="center"/>
    </xf>
    <xf borderId="33" fillId="5" fontId="2" numFmtId="0" xfId="0" applyAlignment="1" applyBorder="1" applyFont="1">
      <alignment horizontal="center" vertical="center"/>
    </xf>
    <xf borderId="49" fillId="5" fontId="2" numFmtId="0" xfId="0" applyAlignment="1" applyBorder="1" applyFont="1">
      <alignment horizontal="center" vertical="center"/>
    </xf>
    <xf borderId="49" fillId="5" fontId="2" numFmtId="9" xfId="0" applyAlignment="1" applyBorder="1" applyFont="1" applyNumberFormat="1">
      <alignment horizontal="center" vertical="center"/>
    </xf>
    <xf borderId="49" fillId="5" fontId="2" numFmtId="164" xfId="0" applyAlignment="1" applyBorder="1" applyFont="1" applyNumberFormat="1">
      <alignment horizontal="center" vertical="center"/>
    </xf>
    <xf borderId="50" fillId="5" fontId="2" numFmtId="164" xfId="0" applyAlignment="1" applyBorder="1" applyFont="1" applyNumberFormat="1">
      <alignment horizontal="center" vertical="center"/>
    </xf>
    <xf borderId="51" fillId="5" fontId="2" numFmtId="0" xfId="0" applyAlignment="1" applyBorder="1" applyFont="1">
      <alignment horizontal="center" vertical="center"/>
    </xf>
    <xf borderId="43" fillId="0" fontId="5" numFmtId="0" xfId="0" applyBorder="1" applyFont="1"/>
    <xf borderId="44" fillId="0" fontId="5" numFmtId="0" xfId="0" applyBorder="1" applyFont="1"/>
    <xf borderId="52" fillId="5" fontId="2" numFmtId="0" xfId="0" applyAlignment="1" applyBorder="1" applyFont="1">
      <alignment horizontal="center" vertical="center"/>
    </xf>
    <xf borderId="38" fillId="5" fontId="2" numFmtId="9" xfId="0" applyAlignment="1" applyBorder="1" applyFont="1" applyNumberFormat="1">
      <alignment horizontal="center" vertical="center"/>
    </xf>
    <xf borderId="38" fillId="5" fontId="2" numFmtId="167" xfId="0" applyAlignment="1" applyBorder="1" applyFont="1" applyNumberFormat="1">
      <alignment horizontal="center" vertical="center"/>
    </xf>
    <xf borderId="38" fillId="5" fontId="2" numFmtId="164" xfId="0" applyAlignment="1" applyBorder="1" applyFont="1" applyNumberFormat="1">
      <alignment horizontal="center" vertical="center"/>
    </xf>
    <xf borderId="48" fillId="5" fontId="2" numFmtId="164" xfId="0" applyAlignment="1" applyBorder="1" applyFont="1" applyNumberFormat="1">
      <alignment horizontal="center" vertical="center"/>
    </xf>
    <xf borderId="53" fillId="5" fontId="2" numFmtId="1" xfId="0" applyAlignment="1" applyBorder="1" applyFont="1" applyNumberFormat="1">
      <alignment horizontal="center" vertical="center"/>
    </xf>
    <xf borderId="38" fillId="5" fontId="2" numFmtId="0" xfId="0" applyAlignment="1" applyBorder="1" applyFont="1">
      <alignment horizontal="center" vertical="center"/>
    </xf>
    <xf borderId="19" fillId="6" fontId="3" numFmtId="0" xfId="0" applyAlignment="1" applyBorder="1" applyFont="1">
      <alignment horizontal="center" shrinkToFit="0" vertical="center" wrapText="1"/>
    </xf>
    <xf borderId="21" fillId="6" fontId="3" numFmtId="164" xfId="0" applyAlignment="1" applyBorder="1" applyFont="1" applyNumberFormat="1">
      <alignment horizontal="center" vertical="center"/>
    </xf>
    <xf borderId="23" fillId="6" fontId="2" numFmtId="0" xfId="0" applyAlignment="1" applyBorder="1" applyFont="1">
      <alignment horizontal="center" vertical="center"/>
    </xf>
    <xf borderId="24" fillId="6" fontId="2" numFmtId="9" xfId="0" applyAlignment="1" applyBorder="1" applyFont="1" applyNumberFormat="1">
      <alignment horizontal="center" vertical="center"/>
    </xf>
    <xf borderId="24" fillId="6" fontId="2" numFmtId="164" xfId="0" applyAlignment="1" applyBorder="1" applyFont="1" applyNumberFormat="1">
      <alignment horizontal="center" vertical="center"/>
    </xf>
    <xf borderId="37" fillId="6" fontId="2" numFmtId="164" xfId="0" applyAlignment="1" applyBorder="1" applyFont="1" applyNumberFormat="1">
      <alignment horizontal="center" vertical="center"/>
    </xf>
    <xf borderId="26" fillId="6" fontId="2" numFmtId="0" xfId="0" applyAlignment="1" applyBorder="1" applyFont="1">
      <alignment horizontal="center" vertical="center"/>
    </xf>
    <xf borderId="54" fillId="0" fontId="5" numFmtId="0" xfId="0" applyBorder="1" applyFont="1"/>
    <xf borderId="55" fillId="0" fontId="5" numFmtId="0" xfId="0" applyBorder="1" applyFont="1"/>
    <xf borderId="6" fillId="4" fontId="6" numFmtId="1" xfId="0" applyAlignment="1" applyBorder="1" applyFont="1" applyNumberFormat="1">
      <alignment horizontal="center" vertical="center"/>
    </xf>
    <xf borderId="31" fillId="6" fontId="2" numFmtId="0" xfId="0" applyAlignment="1" applyBorder="1" applyFont="1">
      <alignment horizontal="center" vertical="center"/>
    </xf>
    <xf borderId="32" fillId="6" fontId="2" numFmtId="9" xfId="0" applyAlignment="1" applyBorder="1" applyFont="1" applyNumberFormat="1">
      <alignment horizontal="center" vertical="center"/>
    </xf>
    <xf borderId="32" fillId="6" fontId="2" numFmtId="167" xfId="0" applyAlignment="1" applyBorder="1" applyFont="1" applyNumberFormat="1">
      <alignment horizontal="center" vertical="center"/>
    </xf>
    <xf borderId="32" fillId="6" fontId="2" numFmtId="164" xfId="0" applyAlignment="1" applyBorder="1" applyFont="1" applyNumberFormat="1">
      <alignment horizontal="center" vertical="center"/>
    </xf>
    <xf borderId="24" fillId="5" fontId="2" numFmtId="0" xfId="0" applyAlignment="1" applyBorder="1" applyFont="1">
      <alignment horizontal="center" vertical="center"/>
    </xf>
    <xf borderId="33" fillId="6" fontId="2" numFmtId="1" xfId="0" applyAlignment="1" applyBorder="1" applyFont="1" applyNumberFormat="1">
      <alignment horizontal="center" vertical="center"/>
    </xf>
    <xf borderId="19" fillId="14" fontId="3" numFmtId="0" xfId="0" applyAlignment="1" applyBorder="1" applyFill="1" applyFont="1">
      <alignment horizontal="center" shrinkToFit="0" vertical="center" wrapText="1"/>
    </xf>
    <xf borderId="21" fillId="14" fontId="3" numFmtId="164" xfId="0" applyAlignment="1" applyBorder="1" applyFont="1" applyNumberFormat="1">
      <alignment horizontal="center" vertical="center"/>
    </xf>
    <xf borderId="23" fillId="14" fontId="2" numFmtId="0" xfId="0" applyAlignment="1" applyBorder="1" applyFont="1">
      <alignment horizontal="center" vertical="center"/>
    </xf>
    <xf borderId="24" fillId="14" fontId="2" numFmtId="9" xfId="0" applyAlignment="1" applyBorder="1" applyFont="1" applyNumberFormat="1">
      <alignment horizontal="center" vertical="center"/>
    </xf>
    <xf borderId="24" fillId="14" fontId="2" numFmtId="164" xfId="0" applyAlignment="1" applyBorder="1" applyFont="1" applyNumberFormat="1">
      <alignment horizontal="center" vertical="center"/>
    </xf>
    <xf borderId="37" fillId="14" fontId="2" numFmtId="164" xfId="0" applyAlignment="1" applyBorder="1" applyFont="1" applyNumberFormat="1">
      <alignment horizontal="center" vertical="center"/>
    </xf>
    <xf borderId="26" fillId="14" fontId="2" numFmtId="0" xfId="0" applyAlignment="1" applyBorder="1" applyFont="1">
      <alignment horizontal="center" vertical="center"/>
    </xf>
    <xf borderId="31" fillId="14" fontId="2" numFmtId="0" xfId="0" applyAlignment="1" applyBorder="1" applyFont="1">
      <alignment horizontal="center" vertical="center"/>
    </xf>
    <xf borderId="32" fillId="14" fontId="2" numFmtId="9" xfId="0" applyAlignment="1" applyBorder="1" applyFont="1" applyNumberFormat="1">
      <alignment horizontal="center" vertical="center"/>
    </xf>
    <xf borderId="32" fillId="14" fontId="2" numFmtId="167" xfId="0" applyAlignment="1" applyBorder="1" applyFont="1" applyNumberFormat="1">
      <alignment horizontal="center" vertical="center"/>
    </xf>
    <xf borderId="32" fillId="14" fontId="2" numFmtId="164" xfId="0" applyAlignment="1" applyBorder="1" applyFont="1" applyNumberFormat="1">
      <alignment horizontal="center" vertical="center"/>
    </xf>
    <xf borderId="33" fillId="14" fontId="2" numFmtId="1" xfId="0" applyAlignment="1" applyBorder="1" applyFont="1" applyNumberFormat="1">
      <alignment horizontal="center" vertical="center"/>
    </xf>
    <xf borderId="16" fillId="2" fontId="3" numFmtId="0" xfId="0" applyAlignment="1" applyBorder="1" applyFont="1">
      <alignment horizontal="center" shrinkToFit="0" vertical="center" wrapText="1"/>
    </xf>
    <xf borderId="18" fillId="2" fontId="3" numFmtId="164" xfId="0" applyAlignment="1" applyBorder="1" applyFont="1" applyNumberFormat="1">
      <alignment vertical="center"/>
    </xf>
    <xf borderId="16" fillId="2" fontId="2" numFmtId="0" xfId="0" applyAlignment="1" applyBorder="1" applyFont="1">
      <alignment horizontal="center" vertical="center"/>
    </xf>
    <xf borderId="17" fillId="2" fontId="2" numFmtId="9" xfId="0" applyAlignment="1" applyBorder="1" applyFont="1" applyNumberFormat="1">
      <alignment horizontal="center" vertical="center"/>
    </xf>
    <xf borderId="17" fillId="2" fontId="2" numFmtId="164" xfId="0" applyAlignment="1" applyBorder="1" applyFont="1" applyNumberFormat="1">
      <alignment horizontal="center" vertical="center"/>
    </xf>
    <xf borderId="56" fillId="2" fontId="2" numFmtId="164" xfId="0" applyAlignment="1" applyBorder="1" applyFont="1" applyNumberFormat="1">
      <alignment horizontal="center" vertical="center"/>
    </xf>
    <xf borderId="18" fillId="2" fontId="2" numFmtId="0" xfId="0" applyAlignment="1" applyBorder="1" applyFont="1">
      <alignment horizontal="center" vertical="center"/>
    </xf>
    <xf borderId="39" fillId="15" fontId="9" numFmtId="0" xfId="0" applyAlignment="1" applyBorder="1" applyFill="1" applyFont="1">
      <alignment horizontal="center" shrinkToFit="0" vertical="center" wrapText="1"/>
    </xf>
    <xf borderId="38" fillId="15" fontId="9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vertical="center"/>
    </xf>
    <xf borderId="6" fillId="4" fontId="3" numFmtId="164" xfId="0" applyAlignment="1" applyBorder="1" applyFont="1" applyNumberFormat="1">
      <alignment horizontal="center" vertical="center"/>
    </xf>
    <xf borderId="6" fillId="4" fontId="2" numFmtId="0" xfId="0" applyBorder="1" applyFont="1"/>
    <xf borderId="6" fillId="4" fontId="2" numFmtId="0" xfId="0" applyAlignment="1" applyBorder="1" applyFont="1">
      <alignment horizontal="center" vertical="center"/>
    </xf>
    <xf borderId="6" fillId="4" fontId="2" numFmtId="9" xfId="0" applyAlignment="1" applyBorder="1" applyFont="1" applyNumberFormat="1">
      <alignment horizontal="center" vertical="center"/>
    </xf>
    <xf borderId="6" fillId="4" fontId="2" numFmtId="167" xfId="0" applyAlignment="1" applyBorder="1" applyFont="1" applyNumberFormat="1">
      <alignment horizontal="center" vertical="center"/>
    </xf>
    <xf borderId="6" fillId="4" fontId="2" numFmtId="164" xfId="0" applyAlignment="1" applyBorder="1" applyFont="1" applyNumberFormat="1">
      <alignment horizontal="center" vertical="center"/>
    </xf>
    <xf borderId="41" fillId="15" fontId="13" numFmtId="164" xfId="0" applyAlignment="1" applyBorder="1" applyFont="1" applyNumberFormat="1">
      <alignment horizontal="center" vertical="center"/>
    </xf>
    <xf borderId="6" fillId="4" fontId="17" numFmtId="164" xfId="0" applyAlignment="1" applyBorder="1" applyFont="1" applyNumberFormat="1">
      <alignment horizontal="center" vertical="center"/>
    </xf>
    <xf borderId="41" fillId="14" fontId="3" numFmtId="164" xfId="0" applyAlignment="1" applyBorder="1" applyFont="1" applyNumberFormat="1">
      <alignment horizontal="center" vertical="center"/>
    </xf>
    <xf borderId="38" fillId="14" fontId="3" numFmtId="0" xfId="0" applyAlignment="1" applyBorder="1" applyFont="1">
      <alignment horizontal="center" vertical="center"/>
    </xf>
    <xf borderId="38" fillId="14" fontId="3" numFmtId="164" xfId="0" applyAlignment="1" applyBorder="1" applyFont="1" applyNumberFormat="1">
      <alignment horizontal="center" vertical="center"/>
    </xf>
    <xf borderId="24" fillId="6" fontId="2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52" fillId="6" fontId="2" numFmtId="0" xfId="0" applyAlignment="1" applyBorder="1" applyFont="1">
      <alignment horizontal="center" vertical="center"/>
    </xf>
    <xf borderId="38" fillId="6" fontId="2" numFmtId="9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shrinkToFit="0" wrapText="1"/>
    </xf>
    <xf borderId="57" fillId="0" fontId="5" numFmtId="0" xfId="0" applyBorder="1" applyFont="1"/>
    <xf borderId="38" fillId="6" fontId="2" numFmtId="167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shrinkToFit="0" wrapText="1"/>
    </xf>
    <xf borderId="38" fillId="6" fontId="2" numFmtId="164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48" fillId="6" fontId="2" numFmtId="164" xfId="0" applyAlignment="1" applyBorder="1" applyFont="1" applyNumberFormat="1">
      <alignment horizontal="center" vertical="center"/>
    </xf>
    <xf borderId="53" fillId="6" fontId="2" numFmtId="1" xfId="0" applyAlignment="1" applyBorder="1" applyFont="1" applyNumberFormat="1">
      <alignment horizontal="center" vertical="center"/>
    </xf>
    <xf borderId="58" fillId="0" fontId="5" numFmtId="0" xfId="0" applyBorder="1" applyFont="1"/>
    <xf borderId="38" fillId="6" fontId="2" numFmtId="0" xfId="0" applyAlignment="1" applyBorder="1" applyFont="1">
      <alignment horizontal="center" vertical="center"/>
    </xf>
    <xf borderId="33" fillId="5" fontId="2" numFmtId="1" xfId="0" applyAlignment="1" applyBorder="1" applyFont="1" applyNumberFormat="1">
      <alignment horizontal="center" vertical="center"/>
    </xf>
    <xf borderId="24" fillId="14" fontId="2" numFmtId="0" xfId="0" applyAlignment="1" applyBorder="1" applyFont="1">
      <alignment horizontal="center" vertical="center"/>
    </xf>
    <xf borderId="52" fillId="14" fontId="2" numFmtId="0" xfId="0" applyAlignment="1" applyBorder="1" applyFont="1">
      <alignment horizontal="center" vertical="center"/>
    </xf>
    <xf borderId="38" fillId="14" fontId="2" numFmtId="9" xfId="0" applyAlignment="1" applyBorder="1" applyFont="1" applyNumberFormat="1">
      <alignment horizontal="center" vertical="center"/>
    </xf>
    <xf borderId="38" fillId="14" fontId="2" numFmtId="167" xfId="0" applyAlignment="1" applyBorder="1" applyFont="1" applyNumberFormat="1">
      <alignment horizontal="center" vertical="center"/>
    </xf>
    <xf borderId="38" fillId="14" fontId="2" numFmtId="164" xfId="0" applyAlignment="1" applyBorder="1" applyFont="1" applyNumberFormat="1">
      <alignment horizontal="center" vertical="center"/>
    </xf>
    <xf borderId="48" fillId="14" fontId="2" numFmtId="164" xfId="0" applyAlignment="1" applyBorder="1" applyFont="1" applyNumberFormat="1">
      <alignment horizontal="center" vertical="center"/>
    </xf>
    <xf borderId="53" fillId="14" fontId="2" numFmtId="1" xfId="0" applyAlignment="1" applyBorder="1" applyFont="1" applyNumberFormat="1">
      <alignment horizontal="center" vertical="center"/>
    </xf>
    <xf borderId="38" fillId="14" fontId="2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9" fillId="16" fontId="3" numFmtId="0" xfId="0" applyAlignment="1" applyBorder="1" applyFill="1" applyFont="1">
      <alignment horizontal="center" shrinkToFit="0" vertical="center" wrapText="1"/>
    </xf>
    <xf borderId="21" fillId="16" fontId="3" numFmtId="164" xfId="0" applyAlignment="1" applyBorder="1" applyFont="1" applyNumberFormat="1">
      <alignment horizontal="center" vertical="center"/>
    </xf>
    <xf borderId="23" fillId="16" fontId="2" numFmtId="0" xfId="0" applyAlignment="1" applyBorder="1" applyFont="1">
      <alignment horizontal="center" vertical="center"/>
    </xf>
    <xf borderId="24" fillId="16" fontId="2" numFmtId="9" xfId="0" applyAlignment="1" applyBorder="1" applyFont="1" applyNumberFormat="1">
      <alignment horizontal="center" vertical="center"/>
    </xf>
    <xf borderId="24" fillId="16" fontId="2" numFmtId="164" xfId="0" applyAlignment="1" applyBorder="1" applyFont="1" applyNumberFormat="1">
      <alignment horizontal="center" vertical="center"/>
    </xf>
    <xf borderId="37" fillId="16" fontId="2" numFmtId="164" xfId="0" applyAlignment="1" applyBorder="1" applyFont="1" applyNumberFormat="1">
      <alignment horizontal="center" vertical="center"/>
    </xf>
    <xf borderId="26" fillId="16" fontId="2" numFmtId="0" xfId="0" applyAlignment="1" applyBorder="1" applyFont="1">
      <alignment horizontal="center" vertical="center"/>
    </xf>
    <xf borderId="24" fillId="16" fontId="2" numFmtId="0" xfId="0" applyAlignment="1" applyBorder="1" applyFont="1">
      <alignment horizontal="center" vertical="center"/>
    </xf>
    <xf borderId="52" fillId="16" fontId="2" numFmtId="0" xfId="0" applyAlignment="1" applyBorder="1" applyFont="1">
      <alignment horizontal="center" vertical="center"/>
    </xf>
    <xf borderId="38" fillId="16" fontId="2" numFmtId="9" xfId="0" applyAlignment="1" applyBorder="1" applyFont="1" applyNumberFormat="1">
      <alignment horizontal="center" vertical="center"/>
    </xf>
    <xf borderId="38" fillId="16" fontId="2" numFmtId="167" xfId="0" applyAlignment="1" applyBorder="1" applyFont="1" applyNumberFormat="1">
      <alignment horizontal="center" vertical="center"/>
    </xf>
    <xf borderId="38" fillId="16" fontId="2" numFmtId="164" xfId="0" applyAlignment="1" applyBorder="1" applyFont="1" applyNumberFormat="1">
      <alignment horizontal="center" vertical="center"/>
    </xf>
    <xf borderId="48" fillId="16" fontId="2" numFmtId="164" xfId="0" applyAlignment="1" applyBorder="1" applyFont="1" applyNumberFormat="1">
      <alignment horizontal="center" vertical="center"/>
    </xf>
    <xf borderId="53" fillId="16" fontId="2" numFmtId="1" xfId="0" applyAlignment="1" applyBorder="1" applyFont="1" applyNumberFormat="1">
      <alignment horizontal="center" vertical="center"/>
    </xf>
    <xf borderId="38" fillId="16" fontId="2" numFmtId="0" xfId="0" applyAlignment="1" applyBorder="1" applyFont="1">
      <alignment horizontal="center" vertical="center"/>
    </xf>
    <xf borderId="31" fillId="16" fontId="2" numFmtId="0" xfId="0" applyAlignment="1" applyBorder="1" applyFont="1">
      <alignment horizontal="center" vertical="center"/>
    </xf>
    <xf borderId="32" fillId="16" fontId="2" numFmtId="9" xfId="0" applyAlignment="1" applyBorder="1" applyFont="1" applyNumberFormat="1">
      <alignment horizontal="center" vertical="center"/>
    </xf>
    <xf borderId="32" fillId="16" fontId="2" numFmtId="167" xfId="0" applyAlignment="1" applyBorder="1" applyFont="1" applyNumberFormat="1">
      <alignment horizontal="center" vertical="center"/>
    </xf>
    <xf borderId="32" fillId="16" fontId="2" numFmtId="164" xfId="0" applyAlignment="1" applyBorder="1" applyFont="1" applyNumberFormat="1">
      <alignment horizontal="center" vertical="center"/>
    </xf>
    <xf borderId="59" fillId="16" fontId="2" numFmtId="164" xfId="0" applyAlignment="1" applyBorder="1" applyFont="1" applyNumberFormat="1">
      <alignment horizontal="center" vertical="center"/>
    </xf>
    <xf borderId="33" fillId="16" fontId="2" numFmtId="1" xfId="0" applyAlignment="1" applyBorder="1" applyFont="1" applyNumberFormat="1">
      <alignment horizontal="center" vertical="center"/>
    </xf>
    <xf borderId="32" fillId="16" fontId="2" numFmtId="0" xfId="0" applyAlignment="1" applyBorder="1" applyFont="1">
      <alignment horizontal="center" vertical="center"/>
    </xf>
    <xf borderId="38" fillId="0" fontId="18" numFmtId="0" xfId="0" applyAlignment="1" applyBorder="1" applyFont="1">
      <alignment vertical="bottom"/>
    </xf>
    <xf borderId="38" fillId="17" fontId="19" numFmtId="0" xfId="0" applyAlignment="1" applyBorder="1" applyFill="1" applyFont="1">
      <alignment readingOrder="0" vertical="bottom"/>
    </xf>
    <xf borderId="38" fillId="0" fontId="20" numFmtId="0" xfId="0" applyAlignment="1" applyBorder="1" applyFont="1">
      <alignment readingOrder="0" vertical="bottom"/>
    </xf>
    <xf borderId="38" fillId="0" fontId="21" numFmtId="0" xfId="0" applyAlignment="1" applyBorder="1" applyFont="1">
      <alignment vertical="bottom"/>
    </xf>
    <xf borderId="38" fillId="17" fontId="22" numFmtId="0" xfId="0" applyAlignment="1" applyBorder="1" applyFont="1">
      <alignment readingOrder="0" vertical="bottom"/>
    </xf>
    <xf borderId="38" fillId="0" fontId="23" numFmtId="0" xfId="0" applyAlignment="1" applyBorder="1" applyFont="1">
      <alignment readingOrder="0" vertical="bottom"/>
    </xf>
    <xf borderId="38" fillId="18" fontId="24" numFmtId="0" xfId="0" applyAlignment="1" applyBorder="1" applyFill="1" applyFont="1">
      <alignment readingOrder="0" vertical="bottom"/>
    </xf>
    <xf borderId="38" fillId="18" fontId="25" numFmtId="0" xfId="0" applyAlignment="1" applyBorder="1" applyFont="1">
      <alignment vertical="bottom"/>
    </xf>
    <xf borderId="38" fillId="0" fontId="26" numFmtId="0" xfId="0" applyAlignment="1" applyBorder="1" applyFont="1">
      <alignment vertical="bottom"/>
    </xf>
    <xf borderId="38" fillId="17" fontId="27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1" fillId="14" fontId="4" numFmtId="0" xfId="0" applyAlignment="1" applyBorder="1" applyFont="1">
      <alignment horizontal="center" vertical="center"/>
    </xf>
    <xf borderId="38" fillId="17" fontId="28" numFmtId="0" xfId="0" applyAlignment="1" applyBorder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39" fillId="11" fontId="9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readingOrder="0"/>
    </xf>
    <xf borderId="38" fillId="11" fontId="9" numFmtId="0" xfId="0" applyAlignment="1" applyBorder="1" applyFont="1">
      <alignment horizontal="center" shrinkToFit="0" vertical="center" wrapText="1"/>
    </xf>
    <xf borderId="41" fillId="11" fontId="13" numFmtId="164" xfId="0" applyAlignment="1" applyBorder="1" applyFont="1" applyNumberFormat="1">
      <alignment horizontal="center" vertical="center"/>
    </xf>
    <xf borderId="38" fillId="4" fontId="33" numFmtId="0" xfId="0" applyAlignment="1" applyBorder="1" applyFont="1">
      <alignment horizontal="center" vertical="center"/>
    </xf>
    <xf borderId="39" fillId="12" fontId="9" numFmtId="0" xfId="0" applyAlignment="1" applyBorder="1" applyFont="1">
      <alignment horizontal="center" shrinkToFit="0" vertical="center" wrapText="1"/>
    </xf>
    <xf borderId="41" fillId="12" fontId="13" numFmtId="164" xfId="0" applyAlignment="1" applyBorder="1" applyFont="1" applyNumberFormat="1">
      <alignment horizontal="center" vertical="center"/>
    </xf>
    <xf borderId="38" fillId="0" fontId="6" numFmtId="10" xfId="0" applyAlignment="1" applyBorder="1" applyFont="1" applyNumberFormat="1">
      <alignment horizontal="center" vertical="center"/>
    </xf>
    <xf borderId="32" fillId="5" fontId="17" numFmtId="164" xfId="0" applyAlignment="1" applyBorder="1" applyFont="1" applyNumberFormat="1">
      <alignment horizontal="center" vertical="center"/>
    </xf>
    <xf borderId="38" fillId="0" fontId="6" numFmtId="0" xfId="0" applyAlignment="1" applyBorder="1" applyFont="1">
      <alignment horizontal="center" vertical="center"/>
    </xf>
    <xf borderId="34" fillId="0" fontId="6" numFmtId="164" xfId="0" applyAlignment="1" applyBorder="1" applyFont="1" applyNumberFormat="1">
      <alignment horizontal="center" vertical="center"/>
    </xf>
    <xf borderId="38" fillId="0" fontId="6" numFmtId="1" xfId="0" applyAlignment="1" applyBorder="1" applyFont="1" applyNumberFormat="1">
      <alignment horizontal="center" vertical="center"/>
    </xf>
    <xf borderId="60" fillId="4" fontId="6" numFmtId="0" xfId="0" applyBorder="1" applyFont="1"/>
    <xf borderId="61" fillId="4" fontId="6" numFmtId="0" xfId="0" applyBorder="1" applyFont="1"/>
    <xf borderId="61" fillId="4" fontId="6" numFmtId="0" xfId="0" applyAlignment="1" applyBorder="1" applyFont="1">
      <alignment horizontal="center" vertical="center"/>
    </xf>
    <xf borderId="62" fillId="4" fontId="6" numFmtId="0" xfId="0" applyBorder="1" applyFont="1"/>
    <xf borderId="32" fillId="6" fontId="17" numFmtId="164" xfId="0" applyAlignment="1" applyBorder="1" applyFont="1" applyNumberFormat="1">
      <alignment horizontal="center" vertical="center"/>
    </xf>
    <xf borderId="33" fillId="6" fontId="2" numFmtId="0" xfId="0" applyAlignment="1" applyBorder="1" applyFont="1">
      <alignment horizontal="center" vertical="center"/>
    </xf>
    <xf borderId="0" fillId="0" fontId="6" numFmtId="164" xfId="0" applyFont="1" applyNumberFormat="1"/>
    <xf borderId="0" fillId="0" fontId="6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" xfId="0" applyFont="1" applyNumberFormat="1"/>
    <xf borderId="0" fillId="0" fontId="6" numFmtId="9" xfId="0" applyFont="1" applyNumberFormat="1"/>
    <xf borderId="32" fillId="14" fontId="17" numFmtId="164" xfId="0" applyAlignment="1" applyBorder="1" applyFont="1" applyNumberFormat="1">
      <alignment horizontal="center" vertical="center"/>
    </xf>
    <xf borderId="33" fillId="14" fontId="2" numFmtId="0" xfId="0" applyAlignment="1" applyBorder="1" applyFont="1">
      <alignment horizontal="center" vertical="center"/>
    </xf>
    <xf borderId="19" fillId="2" fontId="3" numFmtId="0" xfId="0" applyAlignment="1" applyBorder="1" applyFont="1">
      <alignment horizontal="center" shrinkToFit="0" vertical="center" wrapText="1"/>
    </xf>
    <xf borderId="21" fillId="2" fontId="3" numFmtId="164" xfId="0" applyAlignment="1" applyBorder="1" applyFont="1" applyNumberFormat="1">
      <alignment horizontal="center" vertical="center"/>
    </xf>
    <xf borderId="23" fillId="2" fontId="2" numFmtId="0" xfId="0" applyAlignment="1" applyBorder="1" applyFont="1">
      <alignment horizontal="center" vertical="center"/>
    </xf>
    <xf borderId="24" fillId="2" fontId="2" numFmtId="9" xfId="0" applyAlignment="1" applyBorder="1" applyFont="1" applyNumberFormat="1">
      <alignment horizontal="center" vertical="center"/>
    </xf>
    <xf borderId="24" fillId="2" fontId="2" numFmtId="164" xfId="0" applyAlignment="1" applyBorder="1" applyFont="1" applyNumberFormat="1">
      <alignment horizontal="center" vertical="center"/>
    </xf>
    <xf borderId="26" fillId="2" fontId="2" numFmtId="0" xfId="0" applyAlignment="1" applyBorder="1" applyFont="1">
      <alignment horizontal="center" vertical="center"/>
    </xf>
    <xf borderId="31" fillId="2" fontId="2" numFmtId="0" xfId="0" applyAlignment="1" applyBorder="1" applyFont="1">
      <alignment horizontal="center" vertical="center"/>
    </xf>
    <xf borderId="32" fillId="2" fontId="2" numFmtId="9" xfId="0" applyAlignment="1" applyBorder="1" applyFont="1" applyNumberFormat="1">
      <alignment horizontal="center" vertical="center"/>
    </xf>
    <xf borderId="32" fillId="2" fontId="2" numFmtId="167" xfId="0" applyAlignment="1" applyBorder="1" applyFont="1" applyNumberFormat="1">
      <alignment horizontal="center" vertical="center"/>
    </xf>
    <xf borderId="32" fillId="2" fontId="2" numFmtId="164" xfId="0" applyAlignment="1" applyBorder="1" applyFont="1" applyNumberFormat="1">
      <alignment horizontal="center" vertical="center"/>
    </xf>
    <xf borderId="32" fillId="2" fontId="17" numFmtId="164" xfId="0" applyAlignment="1" applyBorder="1" applyFont="1" applyNumberFormat="1">
      <alignment horizontal="center" vertical="center"/>
    </xf>
    <xf borderId="33" fillId="2" fontId="2" numFmtId="0" xfId="0" applyAlignment="1" applyBorder="1" applyFont="1">
      <alignment horizontal="center" vertical="center"/>
    </xf>
    <xf borderId="37" fillId="2" fontId="2" numFmtId="164" xfId="0" applyAlignment="1" applyBorder="1" applyFont="1" applyNumberFormat="1">
      <alignment horizontal="center" vertical="center"/>
    </xf>
    <xf borderId="33" fillId="2" fontId="2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diomassmart-my.sharepoint.com/Users/Hp/Documents/Gerencia%20MyV/Tarifas/2016/TARIFAS%202016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Tarifas%20Smart%20Flex%20-%202026%20V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nerador"/>
      <sheetName val="Tablas"/>
      <sheetName val="Analisis"/>
      <sheetName val="TARIFAS 2016"/>
      <sheetName val="EMPRESARIAL PERSONALIZADO 1"/>
      <sheetName val="EMPRESARIAL PERSONALIZADO 2"/>
      <sheetName val="EMPRESARIAL PERSONALIZADO 3"/>
    </sheetNames>
    <sheetDataSet>
      <sheetData sheetId="0"/>
      <sheetData sheetId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PC 2025"/>
      <sheetName val="T. Smart Flex - Ing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ustomization-computing-5922.lightning.force.com/lightning/r/701WP000015pgBVYAY/view" TargetMode="External"/><Relationship Id="rId22" Type="http://schemas.openxmlformats.org/officeDocument/2006/relationships/hyperlink" Target="https://customization-computing-5922.lightning.force.com/lightning/r/701WP00000jb5h6YAA/view" TargetMode="External"/><Relationship Id="rId21" Type="http://schemas.openxmlformats.org/officeDocument/2006/relationships/hyperlink" Target="https://customization-computing-5922.lightning.force.com/lightning/r/701WP00000jb5h6YAA/view" TargetMode="External"/><Relationship Id="rId24" Type="http://schemas.openxmlformats.org/officeDocument/2006/relationships/hyperlink" Target="https://customization-computing-5922.lightning.force.com/lightning/r/701WP00000jcLr8YAE/view" TargetMode="External"/><Relationship Id="rId23" Type="http://schemas.openxmlformats.org/officeDocument/2006/relationships/hyperlink" Target="https://customization-computing-5922.lightning.force.com/lightning/r/701WP00000jcLr8YAE/view" TargetMode="External"/><Relationship Id="rId1" Type="http://schemas.openxmlformats.org/officeDocument/2006/relationships/hyperlink" Target="https://customization-computing-5922.lightning.force.com/lightning/r/701WP00000omCi5YAE/view" TargetMode="External"/><Relationship Id="rId2" Type="http://schemas.openxmlformats.org/officeDocument/2006/relationships/hyperlink" Target="https://customization-computing-5922.lightning.force.com/lightning/r/701WP00000omCi5YAE/view" TargetMode="External"/><Relationship Id="rId3" Type="http://schemas.openxmlformats.org/officeDocument/2006/relationships/hyperlink" Target="https://customization-computing-5922.lightning.force.com/lightning/r/701WP00000pYpkIYAS/view" TargetMode="External"/><Relationship Id="rId4" Type="http://schemas.openxmlformats.org/officeDocument/2006/relationships/hyperlink" Target="https://customization-computing-5922.lightning.force.com/lightning/r/701WP00000pYpkIYAS/view" TargetMode="External"/><Relationship Id="rId9" Type="http://schemas.openxmlformats.org/officeDocument/2006/relationships/hyperlink" Target="https://customization-computing-5922.lightning.force.com/lightning/r/701WP00000pbBiNYAU/view" TargetMode="External"/><Relationship Id="rId26" Type="http://schemas.openxmlformats.org/officeDocument/2006/relationships/hyperlink" Target="https://customization-computing-5922.lightning.force.com/lightning/r/701WP00000jcJfnYAE/view" TargetMode="External"/><Relationship Id="rId25" Type="http://schemas.openxmlformats.org/officeDocument/2006/relationships/hyperlink" Target="https://customization-computing-5922.lightning.force.com/lightning/r/701WP00000jcJfnYAE/view" TargetMode="External"/><Relationship Id="rId28" Type="http://schemas.openxmlformats.org/officeDocument/2006/relationships/hyperlink" Target="https://customization-computing-5922.lightning.force.com/lightning/r/701WP00000jayqLYAQ/view" TargetMode="External"/><Relationship Id="rId27" Type="http://schemas.openxmlformats.org/officeDocument/2006/relationships/hyperlink" Target="https://customization-computing-5922.lightning.force.com/lightning/r/701WP00000jayqLYAQ/view" TargetMode="External"/><Relationship Id="rId5" Type="http://schemas.openxmlformats.org/officeDocument/2006/relationships/hyperlink" Target="https://customization-computing-5922.lightning.force.com/lightning/r/701WP00000sg3wrYAA/view" TargetMode="External"/><Relationship Id="rId6" Type="http://schemas.openxmlformats.org/officeDocument/2006/relationships/hyperlink" Target="https://customization-computing-5922.lightning.force.com/lightning/r/701WP00000sg3wrYAA/view" TargetMode="External"/><Relationship Id="rId29" Type="http://schemas.openxmlformats.org/officeDocument/2006/relationships/hyperlink" Target="https://customization-computing-5922.lightning.force.com/lightning/r/701WP00001H1bXtYAJ/view" TargetMode="External"/><Relationship Id="rId7" Type="http://schemas.openxmlformats.org/officeDocument/2006/relationships/hyperlink" Target="https://customization-computing-5922.lightning.force.com/lightning/r/701WP00000sf4weYAA/view" TargetMode="External"/><Relationship Id="rId8" Type="http://schemas.openxmlformats.org/officeDocument/2006/relationships/hyperlink" Target="https://customization-computing-5922.lightning.force.com/lightning/r/701WP00000sf4weYAA/view" TargetMode="External"/><Relationship Id="rId31" Type="http://schemas.openxmlformats.org/officeDocument/2006/relationships/hyperlink" Target="https://customization-computing-5922.lightning.force.com/lightning/r/701WP00001KmkT7YAJ/view" TargetMode="External"/><Relationship Id="rId30" Type="http://schemas.openxmlformats.org/officeDocument/2006/relationships/hyperlink" Target="https://customization-computing-5922.lightning.force.com/lightning/r/701WP00001H1bXtYAJ/view" TargetMode="External"/><Relationship Id="rId11" Type="http://schemas.openxmlformats.org/officeDocument/2006/relationships/hyperlink" Target="https://customization-computing-5922.lightning.force.com/lightning/r/701WP00000pfDyQYAU/view" TargetMode="External"/><Relationship Id="rId33" Type="http://schemas.openxmlformats.org/officeDocument/2006/relationships/hyperlink" Target="https://customization-computing-5922.lightning.force.com/lightning/r/701WP00001Ko3GSYAZ/view" TargetMode="External"/><Relationship Id="rId10" Type="http://schemas.openxmlformats.org/officeDocument/2006/relationships/hyperlink" Target="https://customization-computing-5922.lightning.force.com/lightning/r/701WP00000pbBiNYAU/view" TargetMode="External"/><Relationship Id="rId32" Type="http://schemas.openxmlformats.org/officeDocument/2006/relationships/hyperlink" Target="https://customization-computing-5922.lightning.force.com/lightning/r/701WP00001KoJJbYAN/view" TargetMode="External"/><Relationship Id="rId13" Type="http://schemas.openxmlformats.org/officeDocument/2006/relationships/hyperlink" Target="https://customization-computing-5922.lightning.force.com/lightning/r/701WP00000pbHPdYAM/view" TargetMode="External"/><Relationship Id="rId35" Type="http://schemas.openxmlformats.org/officeDocument/2006/relationships/hyperlink" Target="https://customization-computing-5922.lightning.force.com/lightning/r/701WP00001KoUBnYAN/view" TargetMode="External"/><Relationship Id="rId12" Type="http://schemas.openxmlformats.org/officeDocument/2006/relationships/hyperlink" Target="https://customization-computing-5922.lightning.force.com/lightning/r/701WP00000pfDyQYAU/view" TargetMode="External"/><Relationship Id="rId34" Type="http://schemas.openxmlformats.org/officeDocument/2006/relationships/hyperlink" Target="https://customization-computing-5922.lightning.force.com/lightning/r/701WP00001Ko02XYAR/view" TargetMode="External"/><Relationship Id="rId15" Type="http://schemas.openxmlformats.org/officeDocument/2006/relationships/hyperlink" Target="https://customization-computing-5922.lightning.force.com/lightning/r/701WP00000pgjo9YAA/view" TargetMode="External"/><Relationship Id="rId37" Type="http://schemas.openxmlformats.org/officeDocument/2006/relationships/hyperlink" Target="https://customization-computing-5922.lightning.force.com/lightning/r/701WP00001Kp7ZiYAJ/view" TargetMode="External"/><Relationship Id="rId14" Type="http://schemas.openxmlformats.org/officeDocument/2006/relationships/hyperlink" Target="https://customization-computing-5922.lightning.force.com/lightning/r/701WP00000pbHPdYAM/view" TargetMode="External"/><Relationship Id="rId36" Type="http://schemas.openxmlformats.org/officeDocument/2006/relationships/hyperlink" Target="https://customization-computing-5922.lightning.force.com/lightning/r/701WP00001KnATsYAN/view" TargetMode="External"/><Relationship Id="rId17" Type="http://schemas.openxmlformats.org/officeDocument/2006/relationships/hyperlink" Target="https://customization-computing-5922.lightning.force.com/lightning/r/701WP00000pbJeHYAU/view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customization-computing-5922.lightning.force.com/lightning/r/701WP00000pgjo9YAA/view" TargetMode="External"/><Relationship Id="rId38" Type="http://schemas.openxmlformats.org/officeDocument/2006/relationships/hyperlink" Target="https://customization-computing-5922.lightning.force.com/lightning/r/701WP00001Kp0i2YAB/view" TargetMode="External"/><Relationship Id="rId19" Type="http://schemas.openxmlformats.org/officeDocument/2006/relationships/hyperlink" Target="https://customization-computing-5922.lightning.force.com/lightning/r/701WP000015pgBVYAY/view" TargetMode="External"/><Relationship Id="rId18" Type="http://schemas.openxmlformats.org/officeDocument/2006/relationships/hyperlink" Target="https://customization-computing-5922.lightning.force.com/lightning/r/701WP00000pbJeHYAU/vie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2.29"/>
    <col customWidth="1" min="3" max="3" width="12.71"/>
    <col customWidth="1" min="4" max="4" width="20.71"/>
    <col customWidth="1" min="5" max="5" width="12.29"/>
    <col customWidth="1" min="6" max="7" width="14.86"/>
    <col customWidth="1" min="8" max="8" width="10.71"/>
    <col customWidth="1" min="9" max="9" width="11.57"/>
    <col customWidth="1" min="10" max="10" width="10.71"/>
  </cols>
  <sheetData>
    <row r="1" ht="14.25" customHeight="1">
      <c r="A1" s="1" t="s">
        <v>0</v>
      </c>
      <c r="B1" s="2">
        <v>0.05</v>
      </c>
      <c r="F1" s="4"/>
    </row>
    <row r="2" ht="14.25" customHeight="1">
      <c r="A2" s="5"/>
      <c r="B2" s="5">
        <v>2025.0</v>
      </c>
      <c r="C2" s="5">
        <v>2026.0</v>
      </c>
      <c r="D2" s="6" t="s">
        <v>2</v>
      </c>
      <c r="E2" s="5" t="s">
        <v>3</v>
      </c>
      <c r="F2" s="5" t="s">
        <v>4</v>
      </c>
      <c r="G2" s="5" t="s">
        <v>5</v>
      </c>
    </row>
    <row r="3" ht="14.25" customHeight="1">
      <c r="A3" s="5" t="s">
        <v>6</v>
      </c>
      <c r="B3" s="9">
        <v>2310000.0</v>
      </c>
      <c r="C3" s="9">
        <f t="shared" ref="C3:C7" si="1">+B3+(B3*$D$3)</f>
        <v>2427810</v>
      </c>
      <c r="D3" s="15">
        <v>0.051</v>
      </c>
      <c r="E3" s="9">
        <f t="shared" ref="E3:E7" si="2">FLOOR(C3,1000)</f>
        <v>2427000</v>
      </c>
      <c r="F3" s="20">
        <f t="shared" ref="F3:F7" si="3">+(E3-B3)/B3</f>
        <v>0.05064935065</v>
      </c>
      <c r="G3" s="9">
        <f t="shared" ref="G3:G7" si="4">+E3-B3</f>
        <v>117000</v>
      </c>
      <c r="I3" s="27">
        <f t="shared" ref="I3:I4" si="5">15000*162</f>
        <v>2430000</v>
      </c>
      <c r="J3" s="31">
        <f t="shared" ref="J3:J7" si="6">(I3-B3)/B3</f>
        <v>0.05194805195</v>
      </c>
    </row>
    <row r="4" ht="14.25" customHeight="1">
      <c r="A4" s="5" t="s">
        <v>11</v>
      </c>
      <c r="B4" s="9">
        <v>2310000.0</v>
      </c>
      <c r="C4" s="9">
        <f t="shared" si="1"/>
        <v>2427810</v>
      </c>
      <c r="E4" s="9">
        <f t="shared" si="2"/>
        <v>2427000</v>
      </c>
      <c r="F4" s="20">
        <f t="shared" si="3"/>
        <v>0.05064935065</v>
      </c>
      <c r="G4" s="9">
        <f t="shared" si="4"/>
        <v>117000</v>
      </c>
      <c r="I4" s="27">
        <f t="shared" si="5"/>
        <v>2430000</v>
      </c>
      <c r="J4" s="31">
        <f t="shared" si="6"/>
        <v>0.05194805195</v>
      </c>
    </row>
    <row r="5" ht="14.25" customHeight="1">
      <c r="A5" s="5" t="s">
        <v>15</v>
      </c>
      <c r="B5" s="9">
        <v>2542000.0</v>
      </c>
      <c r="C5" s="9">
        <f t="shared" si="1"/>
        <v>2671642</v>
      </c>
      <c r="E5" s="9">
        <f t="shared" si="2"/>
        <v>2671000</v>
      </c>
      <c r="F5" s="20">
        <f t="shared" si="3"/>
        <v>0.05074744296</v>
      </c>
      <c r="G5" s="9">
        <f t="shared" si="4"/>
        <v>129000</v>
      </c>
      <c r="I5" s="27">
        <f>15000*178</f>
        <v>2670000</v>
      </c>
      <c r="J5" s="31">
        <f t="shared" si="6"/>
        <v>0.05035405193</v>
      </c>
    </row>
    <row r="6" ht="14.25" customHeight="1">
      <c r="A6" s="5" t="s">
        <v>21</v>
      </c>
      <c r="B6" s="9">
        <v>2888000.0</v>
      </c>
      <c r="C6" s="9">
        <f t="shared" si="1"/>
        <v>3035288</v>
      </c>
      <c r="E6" s="9">
        <f t="shared" si="2"/>
        <v>3035000</v>
      </c>
      <c r="F6" s="20">
        <f t="shared" si="3"/>
        <v>0.05090027701</v>
      </c>
      <c r="G6" s="9">
        <f t="shared" si="4"/>
        <v>147000</v>
      </c>
      <c r="I6" s="27">
        <f t="shared" ref="I6:I7" si="7">15000*202</f>
        <v>3030000</v>
      </c>
      <c r="J6" s="31">
        <f t="shared" si="6"/>
        <v>0.04916897507</v>
      </c>
    </row>
    <row r="7" ht="14.25" customHeight="1">
      <c r="A7" s="5" t="s">
        <v>23</v>
      </c>
      <c r="B7" s="9">
        <v>2888000.0</v>
      </c>
      <c r="C7" s="9">
        <f t="shared" si="1"/>
        <v>3035288</v>
      </c>
      <c r="E7" s="9">
        <f t="shared" si="2"/>
        <v>3035000</v>
      </c>
      <c r="F7" s="20">
        <f t="shared" si="3"/>
        <v>0.05090027701</v>
      </c>
      <c r="G7" s="9">
        <f t="shared" si="4"/>
        <v>147000</v>
      </c>
      <c r="I7" s="27">
        <f t="shared" si="7"/>
        <v>3030000</v>
      </c>
      <c r="J7" s="31">
        <f t="shared" si="6"/>
        <v>0.04916897507</v>
      </c>
    </row>
    <row r="8" ht="14.25" customHeight="1">
      <c r="A8" s="5"/>
      <c r="F8" s="4"/>
    </row>
    <row r="9" ht="14.25" customHeight="1">
      <c r="A9" s="5" t="s">
        <v>24</v>
      </c>
      <c r="B9" s="9">
        <v>2104000.0</v>
      </c>
      <c r="C9" s="27">
        <f t="shared" ref="C9:C11" si="8">+B9+(B9*$D$9)</f>
        <v>2209200</v>
      </c>
      <c r="D9" s="15">
        <v>0.05</v>
      </c>
      <c r="E9" s="9">
        <f t="shared" ref="E9:E11" si="9">CEILING(C9,1000)</f>
        <v>2210000</v>
      </c>
      <c r="F9" s="20">
        <f t="shared" ref="F9:F11" si="10">+(E9-B9)/B9</f>
        <v>0.05038022814</v>
      </c>
      <c r="G9" s="9">
        <f t="shared" ref="G9:G11" si="11">+E9-B9</f>
        <v>106000</v>
      </c>
    </row>
    <row r="10" ht="14.25" customHeight="1">
      <c r="A10" s="5" t="s">
        <v>27</v>
      </c>
      <c r="B10" s="9">
        <v>3156000.0</v>
      </c>
      <c r="C10" s="27">
        <f t="shared" si="8"/>
        <v>3313800</v>
      </c>
      <c r="E10" s="9">
        <f t="shared" si="9"/>
        <v>3314000</v>
      </c>
      <c r="F10" s="20">
        <f t="shared" si="10"/>
        <v>0.05006337136</v>
      </c>
      <c r="G10" s="9">
        <f t="shared" si="11"/>
        <v>158000</v>
      </c>
    </row>
    <row r="11" ht="14.25" customHeight="1">
      <c r="A11" s="5" t="s">
        <v>29</v>
      </c>
      <c r="B11" s="9">
        <v>4208000.0</v>
      </c>
      <c r="C11" s="27">
        <f t="shared" si="8"/>
        <v>4418400</v>
      </c>
      <c r="E11" s="9">
        <f t="shared" si="9"/>
        <v>4419000</v>
      </c>
      <c r="F11" s="20">
        <f t="shared" si="10"/>
        <v>0.05014258555</v>
      </c>
      <c r="G11" s="9">
        <f t="shared" si="11"/>
        <v>211000</v>
      </c>
    </row>
    <row r="12" ht="14.25" customHeight="1">
      <c r="A12" s="5"/>
      <c r="F12" s="4"/>
    </row>
    <row r="13" ht="14.25" customHeight="1">
      <c r="A13" s="5" t="s">
        <v>31</v>
      </c>
      <c r="B13" s="9">
        <v>357700.0</v>
      </c>
      <c r="C13" s="27">
        <f t="shared" ref="C13:C17" si="12">+B13+(B13*$D$13)</f>
        <v>375585</v>
      </c>
      <c r="D13" s="15">
        <v>0.05</v>
      </c>
      <c r="E13" s="9">
        <f t="shared" ref="E13:E17" si="13">CEILING(C13,100)</f>
        <v>375600</v>
      </c>
      <c r="F13" s="20">
        <f t="shared" ref="F13:F17" si="14">+(E13-B13)/B13</f>
        <v>0.05004193458</v>
      </c>
      <c r="G13" s="9">
        <f t="shared" ref="G13:G17" si="15">+E13-B13</f>
        <v>17900</v>
      </c>
    </row>
    <row r="14" ht="14.25" customHeight="1">
      <c r="A14" s="5" t="s">
        <v>34</v>
      </c>
      <c r="B14" s="9">
        <v>549200.0</v>
      </c>
      <c r="C14" s="27">
        <f t="shared" si="12"/>
        <v>576660</v>
      </c>
      <c r="E14" s="9">
        <f t="shared" si="13"/>
        <v>576700</v>
      </c>
      <c r="F14" s="20">
        <f t="shared" si="14"/>
        <v>0.05007283321</v>
      </c>
      <c r="G14" s="9">
        <f t="shared" si="15"/>
        <v>27500</v>
      </c>
    </row>
    <row r="15" ht="14.25" customHeight="1">
      <c r="A15" s="5" t="s">
        <v>35</v>
      </c>
      <c r="B15" s="9">
        <v>549200.0</v>
      </c>
      <c r="C15" s="27">
        <f t="shared" si="12"/>
        <v>576660</v>
      </c>
      <c r="E15" s="9">
        <f t="shared" si="13"/>
        <v>576700</v>
      </c>
      <c r="F15" s="20">
        <f t="shared" si="14"/>
        <v>0.05007283321</v>
      </c>
      <c r="G15" s="9">
        <f t="shared" si="15"/>
        <v>27500</v>
      </c>
    </row>
    <row r="16" ht="14.25" customHeight="1">
      <c r="A16" s="5" t="s">
        <v>36</v>
      </c>
      <c r="B16" s="9">
        <v>755400.0</v>
      </c>
      <c r="C16" s="27">
        <f t="shared" si="12"/>
        <v>793170</v>
      </c>
      <c r="E16" s="9">
        <f t="shared" si="13"/>
        <v>793200</v>
      </c>
      <c r="F16" s="20">
        <f t="shared" si="14"/>
        <v>0.05003971406</v>
      </c>
      <c r="G16" s="9">
        <f t="shared" si="15"/>
        <v>37800</v>
      </c>
    </row>
    <row r="17" ht="14.25" customHeight="1">
      <c r="A17" s="5" t="s">
        <v>37</v>
      </c>
      <c r="B17" s="9">
        <v>823800.0</v>
      </c>
      <c r="C17" s="27">
        <f t="shared" si="12"/>
        <v>864990</v>
      </c>
      <c r="E17" s="9">
        <f t="shared" si="13"/>
        <v>865000</v>
      </c>
      <c r="F17" s="20">
        <f t="shared" si="14"/>
        <v>0.05001213887</v>
      </c>
      <c r="G17" s="9">
        <f t="shared" si="15"/>
        <v>41200</v>
      </c>
    </row>
    <row r="18" ht="14.25" customHeight="1">
      <c r="A18" s="5"/>
      <c r="E18" s="9"/>
      <c r="F18" s="4"/>
    </row>
    <row r="19" ht="14.25" customHeight="1">
      <c r="A19" s="5"/>
      <c r="F19" s="4"/>
    </row>
    <row r="20" ht="14.25" customHeight="1">
      <c r="A20" s="5"/>
      <c r="F20" s="4"/>
    </row>
    <row r="21" ht="14.25" customHeight="1">
      <c r="A21" s="5"/>
      <c r="F21" s="4"/>
    </row>
    <row r="22" ht="14.25" customHeight="1">
      <c r="A22" s="5"/>
      <c r="F22" s="4"/>
    </row>
    <row r="23" ht="14.25" customHeight="1">
      <c r="A23" s="5"/>
      <c r="F23" s="4"/>
    </row>
    <row r="24" ht="14.25" customHeight="1">
      <c r="A24" s="5"/>
      <c r="F24" s="4"/>
    </row>
    <row r="25" ht="14.25" customHeight="1">
      <c r="A25" s="5"/>
      <c r="F25" s="4"/>
    </row>
    <row r="26" ht="14.25" customHeight="1">
      <c r="A26" s="5"/>
      <c r="F26" s="4"/>
    </row>
    <row r="27" ht="14.25" customHeight="1">
      <c r="A27" s="5"/>
      <c r="F27" s="4"/>
    </row>
    <row r="28" ht="14.25" customHeight="1">
      <c r="A28" s="5"/>
      <c r="F28" s="4"/>
    </row>
    <row r="29" ht="14.25" customHeight="1">
      <c r="A29" s="5"/>
      <c r="F29" s="4"/>
    </row>
    <row r="30" ht="14.25" customHeight="1">
      <c r="A30" s="5"/>
      <c r="F30" s="4"/>
    </row>
    <row r="31" ht="14.25" customHeight="1">
      <c r="A31" s="5"/>
      <c r="F31" s="4"/>
    </row>
    <row r="32" ht="14.25" customHeight="1">
      <c r="A32" s="5"/>
      <c r="F32" s="4"/>
    </row>
    <row r="33" ht="14.25" customHeight="1">
      <c r="A33" s="5"/>
      <c r="F33" s="4"/>
    </row>
    <row r="34" ht="14.25" customHeight="1">
      <c r="A34" s="5"/>
      <c r="F34" s="4"/>
    </row>
    <row r="35" ht="14.25" customHeight="1">
      <c r="A35" s="5"/>
      <c r="F35" s="4"/>
    </row>
    <row r="36" ht="14.25" customHeight="1">
      <c r="A36" s="5"/>
      <c r="F36" s="4"/>
    </row>
    <row r="37" ht="14.25" customHeight="1">
      <c r="A37" s="5"/>
      <c r="F37" s="4"/>
    </row>
    <row r="38" ht="14.25" customHeight="1">
      <c r="A38" s="5"/>
      <c r="F38" s="4"/>
    </row>
    <row r="39" ht="14.25" customHeight="1">
      <c r="A39" s="5"/>
      <c r="F39" s="4"/>
    </row>
    <row r="40" ht="14.25" customHeight="1">
      <c r="A40" s="5"/>
      <c r="F40" s="4"/>
    </row>
    <row r="41" ht="14.25" customHeight="1">
      <c r="A41" s="5"/>
      <c r="F41" s="4"/>
    </row>
    <row r="42" ht="14.25" customHeight="1">
      <c r="A42" s="5"/>
      <c r="F42" s="4"/>
    </row>
    <row r="43" ht="14.25" customHeight="1">
      <c r="A43" s="5"/>
      <c r="F43" s="4"/>
    </row>
    <row r="44" ht="14.25" customHeight="1">
      <c r="A44" s="5"/>
      <c r="F44" s="4"/>
    </row>
    <row r="45" ht="14.25" customHeight="1">
      <c r="A45" s="5"/>
      <c r="F45" s="4"/>
    </row>
    <row r="46" ht="14.25" customHeight="1">
      <c r="A46" s="5"/>
      <c r="F46" s="4"/>
    </row>
    <row r="47" ht="14.25" customHeight="1">
      <c r="A47" s="5"/>
      <c r="F47" s="4"/>
    </row>
    <row r="48" ht="14.25" customHeight="1">
      <c r="A48" s="5"/>
      <c r="F48" s="4"/>
    </row>
    <row r="49" ht="14.25" customHeight="1">
      <c r="A49" s="5"/>
      <c r="F49" s="4"/>
    </row>
    <row r="50" ht="14.25" customHeight="1">
      <c r="A50" s="5"/>
      <c r="F50" s="4"/>
    </row>
    <row r="51" ht="14.25" customHeight="1">
      <c r="A51" s="5"/>
      <c r="F51" s="4"/>
    </row>
    <row r="52" ht="14.25" customHeight="1">
      <c r="A52" s="5"/>
      <c r="F52" s="4"/>
    </row>
    <row r="53" ht="14.25" customHeight="1">
      <c r="A53" s="5"/>
      <c r="F53" s="4"/>
    </row>
    <row r="54" ht="14.25" customHeight="1">
      <c r="A54" s="5"/>
      <c r="F54" s="4"/>
    </row>
    <row r="55" ht="14.25" customHeight="1">
      <c r="A55" s="5"/>
      <c r="F55" s="4"/>
    </row>
    <row r="56" ht="14.25" customHeight="1">
      <c r="A56" s="5"/>
      <c r="F56" s="4"/>
    </row>
    <row r="57" ht="14.25" customHeight="1">
      <c r="A57" s="5"/>
      <c r="F57" s="4"/>
    </row>
    <row r="58" ht="14.25" customHeight="1">
      <c r="A58" s="5"/>
      <c r="F58" s="4"/>
    </row>
    <row r="59" ht="14.25" customHeight="1">
      <c r="A59" s="5"/>
      <c r="F59" s="4"/>
    </row>
    <row r="60" ht="14.25" customHeight="1">
      <c r="A60" s="5"/>
      <c r="F60" s="4"/>
    </row>
    <row r="61" ht="14.25" customHeight="1">
      <c r="A61" s="5"/>
      <c r="F61" s="4"/>
    </row>
    <row r="62" ht="14.25" customHeight="1">
      <c r="A62" s="5"/>
      <c r="F62" s="4"/>
    </row>
    <row r="63" ht="14.25" customHeight="1">
      <c r="A63" s="5"/>
      <c r="F63" s="4"/>
    </row>
    <row r="64" ht="14.25" customHeight="1">
      <c r="A64" s="5"/>
      <c r="F64" s="4"/>
    </row>
    <row r="65" ht="14.25" customHeight="1">
      <c r="A65" s="5"/>
      <c r="F65" s="4"/>
    </row>
    <row r="66" ht="14.25" customHeight="1">
      <c r="A66" s="5"/>
      <c r="F66" s="4"/>
    </row>
    <row r="67" ht="14.25" customHeight="1">
      <c r="A67" s="5"/>
      <c r="F67" s="4"/>
    </row>
    <row r="68" ht="14.25" customHeight="1">
      <c r="A68" s="5"/>
      <c r="F68" s="4"/>
    </row>
    <row r="69" ht="14.25" customHeight="1">
      <c r="A69" s="5"/>
      <c r="F69" s="4"/>
    </row>
    <row r="70" ht="14.25" customHeight="1">
      <c r="A70" s="5"/>
      <c r="F70" s="4"/>
    </row>
    <row r="71" ht="14.25" customHeight="1">
      <c r="A71" s="5"/>
      <c r="F71" s="4"/>
    </row>
    <row r="72" ht="14.25" customHeight="1">
      <c r="A72" s="5"/>
      <c r="F72" s="4"/>
    </row>
    <row r="73" ht="14.25" customHeight="1">
      <c r="A73" s="5"/>
      <c r="F73" s="4"/>
    </row>
    <row r="74" ht="14.25" customHeight="1">
      <c r="A74" s="5"/>
      <c r="F74" s="4"/>
    </row>
    <row r="75" ht="14.25" customHeight="1">
      <c r="A75" s="5"/>
      <c r="F75" s="4"/>
    </row>
    <row r="76" ht="14.25" customHeight="1">
      <c r="A76" s="5"/>
      <c r="F76" s="4"/>
    </row>
    <row r="77" ht="14.25" customHeight="1">
      <c r="A77" s="5"/>
      <c r="F77" s="4"/>
    </row>
    <row r="78" ht="14.25" customHeight="1">
      <c r="A78" s="5"/>
      <c r="F78" s="4"/>
    </row>
    <row r="79" ht="14.25" customHeight="1">
      <c r="A79" s="5"/>
      <c r="F79" s="4"/>
    </row>
    <row r="80" ht="14.25" customHeight="1">
      <c r="A80" s="5"/>
      <c r="F80" s="4"/>
    </row>
    <row r="81" ht="14.25" customHeight="1">
      <c r="A81" s="5"/>
      <c r="F81" s="4"/>
    </row>
    <row r="82" ht="14.25" customHeight="1">
      <c r="A82" s="5"/>
      <c r="F82" s="4"/>
    </row>
    <row r="83" ht="14.25" customHeight="1">
      <c r="A83" s="5"/>
      <c r="F83" s="4"/>
    </row>
    <row r="84" ht="14.25" customHeight="1">
      <c r="A84" s="5"/>
      <c r="F84" s="4"/>
    </row>
    <row r="85" ht="14.25" customHeight="1">
      <c r="A85" s="5"/>
      <c r="F85" s="4"/>
    </row>
    <row r="86" ht="14.25" customHeight="1">
      <c r="A86" s="5"/>
      <c r="F86" s="4"/>
    </row>
    <row r="87" ht="14.25" customHeight="1">
      <c r="A87" s="5"/>
      <c r="F87" s="4"/>
    </row>
    <row r="88" ht="14.25" customHeight="1">
      <c r="A88" s="5"/>
      <c r="F88" s="4"/>
    </row>
    <row r="89" ht="14.25" customHeight="1">
      <c r="A89" s="5"/>
      <c r="F89" s="4"/>
    </row>
    <row r="90" ht="14.25" customHeight="1">
      <c r="A90" s="5"/>
      <c r="F90" s="4"/>
    </row>
    <row r="91" ht="14.25" customHeight="1">
      <c r="A91" s="5"/>
      <c r="F91" s="4"/>
    </row>
    <row r="92" ht="14.25" customHeight="1">
      <c r="A92" s="5"/>
      <c r="F92" s="4"/>
    </row>
    <row r="93" ht="14.25" customHeight="1">
      <c r="A93" s="5"/>
      <c r="F93" s="4"/>
    </row>
    <row r="94" ht="14.25" customHeight="1">
      <c r="A94" s="5"/>
      <c r="F94" s="4"/>
    </row>
    <row r="95" ht="14.25" customHeight="1">
      <c r="A95" s="5"/>
      <c r="F95" s="4"/>
    </row>
    <row r="96" ht="14.25" customHeight="1">
      <c r="A96" s="5"/>
      <c r="F96" s="4"/>
    </row>
    <row r="97" ht="14.25" customHeight="1">
      <c r="A97" s="5"/>
      <c r="F97" s="4"/>
    </row>
    <row r="98" ht="14.25" customHeight="1">
      <c r="A98" s="5"/>
      <c r="F98" s="4"/>
    </row>
    <row r="99" ht="14.25" customHeight="1">
      <c r="A99" s="5"/>
      <c r="F99" s="4"/>
    </row>
    <row r="100" ht="14.25" customHeight="1">
      <c r="A100" s="5"/>
      <c r="F100" s="4"/>
    </row>
    <row r="101" ht="14.25" customHeight="1">
      <c r="A101" s="5"/>
      <c r="F101" s="4"/>
    </row>
    <row r="102" ht="14.25" customHeight="1">
      <c r="A102" s="5"/>
      <c r="F102" s="4"/>
    </row>
    <row r="103" ht="14.25" customHeight="1">
      <c r="A103" s="5"/>
      <c r="F103" s="4"/>
    </row>
    <row r="104" ht="14.25" customHeight="1">
      <c r="A104" s="5"/>
      <c r="F104" s="4"/>
    </row>
    <row r="105" ht="14.25" customHeight="1">
      <c r="A105" s="5"/>
      <c r="F105" s="4"/>
    </row>
    <row r="106" ht="14.25" customHeight="1">
      <c r="A106" s="5"/>
      <c r="F106" s="4"/>
    </row>
    <row r="107" ht="14.25" customHeight="1">
      <c r="A107" s="5"/>
      <c r="F107" s="4"/>
    </row>
    <row r="108" ht="14.25" customHeight="1">
      <c r="A108" s="5"/>
      <c r="F108" s="4"/>
    </row>
    <row r="109" ht="14.25" customHeight="1">
      <c r="A109" s="5"/>
      <c r="F109" s="4"/>
    </row>
    <row r="110" ht="14.25" customHeight="1">
      <c r="A110" s="5"/>
      <c r="F110" s="4"/>
    </row>
    <row r="111" ht="14.25" customHeight="1">
      <c r="A111" s="5"/>
      <c r="F111" s="4"/>
    </row>
    <row r="112" ht="14.25" customHeight="1">
      <c r="A112" s="5"/>
      <c r="F112" s="4"/>
    </row>
    <row r="113" ht="14.25" customHeight="1">
      <c r="A113" s="5"/>
      <c r="F113" s="4"/>
    </row>
    <row r="114" ht="14.25" customHeight="1">
      <c r="A114" s="5"/>
      <c r="F114" s="4"/>
    </row>
    <row r="115" ht="14.25" customHeight="1">
      <c r="A115" s="5"/>
      <c r="F115" s="4"/>
    </row>
    <row r="116" ht="14.25" customHeight="1">
      <c r="A116" s="5"/>
      <c r="F116" s="4"/>
    </row>
    <row r="117" ht="14.25" customHeight="1">
      <c r="A117" s="5"/>
      <c r="F117" s="4"/>
    </row>
    <row r="118" ht="14.25" customHeight="1">
      <c r="A118" s="5"/>
      <c r="F118" s="4"/>
    </row>
    <row r="119" ht="14.25" customHeight="1">
      <c r="A119" s="5"/>
      <c r="F119" s="4"/>
    </row>
    <row r="120" ht="14.25" customHeight="1">
      <c r="A120" s="5"/>
      <c r="F120" s="4"/>
    </row>
    <row r="121" ht="14.25" customHeight="1">
      <c r="A121" s="5"/>
      <c r="F121" s="4"/>
    </row>
    <row r="122" ht="14.25" customHeight="1">
      <c r="A122" s="5"/>
      <c r="F122" s="4"/>
    </row>
    <row r="123" ht="14.25" customHeight="1">
      <c r="A123" s="5"/>
      <c r="F123" s="4"/>
    </row>
    <row r="124" ht="14.25" customHeight="1">
      <c r="A124" s="5"/>
      <c r="F124" s="4"/>
    </row>
    <row r="125" ht="14.25" customHeight="1">
      <c r="A125" s="5"/>
      <c r="F125" s="4"/>
    </row>
    <row r="126" ht="14.25" customHeight="1">
      <c r="A126" s="5"/>
      <c r="F126" s="4"/>
    </row>
    <row r="127" ht="14.25" customHeight="1">
      <c r="A127" s="5"/>
      <c r="F127" s="4"/>
    </row>
    <row r="128" ht="14.25" customHeight="1">
      <c r="A128" s="5"/>
      <c r="F128" s="4"/>
    </row>
    <row r="129" ht="14.25" customHeight="1">
      <c r="A129" s="5"/>
      <c r="F129" s="4"/>
    </row>
    <row r="130" ht="14.25" customHeight="1">
      <c r="A130" s="5"/>
      <c r="F130" s="4"/>
    </row>
    <row r="131" ht="14.25" customHeight="1">
      <c r="A131" s="5"/>
      <c r="F131" s="4"/>
    </row>
    <row r="132" ht="14.25" customHeight="1">
      <c r="A132" s="5"/>
      <c r="F132" s="4"/>
    </row>
    <row r="133" ht="14.25" customHeight="1">
      <c r="A133" s="5"/>
      <c r="F133" s="4"/>
    </row>
    <row r="134" ht="14.25" customHeight="1">
      <c r="A134" s="5"/>
      <c r="F134" s="4"/>
    </row>
    <row r="135" ht="14.25" customHeight="1">
      <c r="A135" s="5"/>
      <c r="F135" s="4"/>
    </row>
    <row r="136" ht="14.25" customHeight="1">
      <c r="A136" s="5"/>
      <c r="F136" s="4"/>
    </row>
    <row r="137" ht="14.25" customHeight="1">
      <c r="A137" s="5"/>
      <c r="F137" s="4"/>
    </row>
    <row r="138" ht="14.25" customHeight="1">
      <c r="A138" s="5"/>
      <c r="F138" s="4"/>
    </row>
    <row r="139" ht="14.25" customHeight="1">
      <c r="A139" s="5"/>
      <c r="F139" s="4"/>
    </row>
    <row r="140" ht="14.25" customHeight="1">
      <c r="A140" s="5"/>
      <c r="F140" s="4"/>
    </row>
    <row r="141" ht="14.25" customHeight="1">
      <c r="A141" s="5"/>
      <c r="F141" s="4"/>
    </row>
    <row r="142" ht="14.25" customHeight="1">
      <c r="A142" s="5"/>
      <c r="F142" s="4"/>
    </row>
    <row r="143" ht="14.25" customHeight="1">
      <c r="A143" s="5"/>
      <c r="F143" s="4"/>
    </row>
    <row r="144" ht="14.25" customHeight="1">
      <c r="A144" s="5"/>
      <c r="F144" s="4"/>
    </row>
    <row r="145" ht="14.25" customHeight="1">
      <c r="A145" s="5"/>
      <c r="F145" s="4"/>
    </row>
    <row r="146" ht="14.25" customHeight="1">
      <c r="A146" s="5"/>
      <c r="F146" s="4"/>
    </row>
    <row r="147" ht="14.25" customHeight="1">
      <c r="A147" s="5"/>
      <c r="F147" s="4"/>
    </row>
    <row r="148" ht="14.25" customHeight="1">
      <c r="A148" s="5"/>
      <c r="F148" s="4"/>
    </row>
    <row r="149" ht="14.25" customHeight="1">
      <c r="A149" s="5"/>
      <c r="F149" s="4"/>
    </row>
    <row r="150" ht="14.25" customHeight="1">
      <c r="A150" s="5"/>
      <c r="F150" s="4"/>
    </row>
    <row r="151" ht="14.25" customHeight="1">
      <c r="A151" s="5"/>
      <c r="F151" s="4"/>
    </row>
    <row r="152" ht="14.25" customHeight="1">
      <c r="A152" s="5"/>
      <c r="F152" s="4"/>
    </row>
    <row r="153" ht="14.25" customHeight="1">
      <c r="A153" s="5"/>
      <c r="F153" s="4"/>
    </row>
    <row r="154" ht="14.25" customHeight="1">
      <c r="A154" s="5"/>
      <c r="F154" s="4"/>
    </row>
    <row r="155" ht="14.25" customHeight="1">
      <c r="A155" s="5"/>
      <c r="F155" s="4"/>
    </row>
    <row r="156" ht="14.25" customHeight="1">
      <c r="A156" s="5"/>
      <c r="F156" s="4"/>
    </row>
    <row r="157" ht="14.25" customHeight="1">
      <c r="A157" s="5"/>
      <c r="F157" s="4"/>
    </row>
    <row r="158" ht="14.25" customHeight="1">
      <c r="A158" s="5"/>
      <c r="F158" s="4"/>
    </row>
    <row r="159" ht="14.25" customHeight="1">
      <c r="A159" s="5"/>
      <c r="F159" s="4"/>
    </row>
    <row r="160" ht="14.25" customHeight="1">
      <c r="A160" s="5"/>
      <c r="F160" s="4"/>
    </row>
    <row r="161" ht="14.25" customHeight="1">
      <c r="A161" s="5"/>
      <c r="F161" s="4"/>
    </row>
    <row r="162" ht="14.25" customHeight="1">
      <c r="A162" s="5"/>
      <c r="F162" s="4"/>
    </row>
    <row r="163" ht="14.25" customHeight="1">
      <c r="A163" s="5"/>
      <c r="F163" s="4"/>
    </row>
    <row r="164" ht="14.25" customHeight="1">
      <c r="A164" s="5"/>
      <c r="F164" s="4"/>
    </row>
    <row r="165" ht="14.25" customHeight="1">
      <c r="A165" s="5"/>
      <c r="F165" s="4"/>
    </row>
    <row r="166" ht="14.25" customHeight="1">
      <c r="A166" s="5"/>
      <c r="F166" s="4"/>
    </row>
    <row r="167" ht="14.25" customHeight="1">
      <c r="A167" s="5"/>
      <c r="F167" s="4"/>
    </row>
    <row r="168" ht="14.25" customHeight="1">
      <c r="A168" s="5"/>
      <c r="F168" s="4"/>
    </row>
    <row r="169" ht="14.25" customHeight="1">
      <c r="A169" s="5"/>
      <c r="F169" s="4"/>
    </row>
    <row r="170" ht="14.25" customHeight="1">
      <c r="A170" s="5"/>
      <c r="F170" s="4"/>
    </row>
    <row r="171" ht="14.25" customHeight="1">
      <c r="A171" s="5"/>
      <c r="F171" s="4"/>
    </row>
    <row r="172" ht="14.25" customHeight="1">
      <c r="A172" s="5"/>
      <c r="F172" s="4"/>
    </row>
    <row r="173" ht="14.25" customHeight="1">
      <c r="A173" s="5"/>
      <c r="F173" s="4"/>
    </row>
    <row r="174" ht="14.25" customHeight="1">
      <c r="A174" s="5"/>
      <c r="F174" s="4"/>
    </row>
    <row r="175" ht="14.25" customHeight="1">
      <c r="A175" s="5"/>
      <c r="F175" s="4"/>
    </row>
    <row r="176" ht="14.25" customHeight="1">
      <c r="A176" s="5"/>
      <c r="F176" s="4"/>
    </row>
    <row r="177" ht="14.25" customHeight="1">
      <c r="A177" s="5"/>
      <c r="F177" s="4"/>
    </row>
    <row r="178" ht="14.25" customHeight="1">
      <c r="A178" s="5"/>
      <c r="F178" s="4"/>
    </row>
    <row r="179" ht="14.25" customHeight="1">
      <c r="A179" s="5"/>
      <c r="F179" s="4"/>
    </row>
    <row r="180" ht="14.25" customHeight="1">
      <c r="A180" s="5"/>
      <c r="F180" s="4"/>
    </row>
    <row r="181" ht="14.25" customHeight="1">
      <c r="A181" s="5"/>
      <c r="F181" s="4"/>
    </row>
    <row r="182" ht="14.25" customHeight="1">
      <c r="A182" s="5"/>
      <c r="F182" s="4"/>
    </row>
    <row r="183" ht="14.25" customHeight="1">
      <c r="A183" s="5"/>
      <c r="F183" s="4"/>
    </row>
    <row r="184" ht="14.25" customHeight="1">
      <c r="A184" s="5"/>
      <c r="F184" s="4"/>
    </row>
    <row r="185" ht="14.25" customHeight="1">
      <c r="A185" s="5"/>
      <c r="F185" s="4"/>
    </row>
    <row r="186" ht="14.25" customHeight="1">
      <c r="A186" s="5"/>
      <c r="F186" s="4"/>
    </row>
    <row r="187" ht="14.25" customHeight="1">
      <c r="A187" s="5"/>
      <c r="F187" s="4"/>
    </row>
    <row r="188" ht="14.25" customHeight="1">
      <c r="A188" s="5"/>
      <c r="F188" s="4"/>
    </row>
    <row r="189" ht="14.25" customHeight="1">
      <c r="A189" s="5"/>
      <c r="F189" s="4"/>
    </row>
    <row r="190" ht="14.25" customHeight="1">
      <c r="A190" s="5"/>
      <c r="F190" s="4"/>
    </row>
    <row r="191" ht="14.25" customHeight="1">
      <c r="A191" s="5"/>
      <c r="F191" s="4"/>
    </row>
    <row r="192" ht="14.25" customHeight="1">
      <c r="A192" s="5"/>
      <c r="F192" s="4"/>
    </row>
    <row r="193" ht="14.25" customHeight="1">
      <c r="A193" s="5"/>
      <c r="F193" s="4"/>
    </row>
    <row r="194" ht="14.25" customHeight="1">
      <c r="A194" s="5"/>
      <c r="F194" s="4"/>
    </row>
    <row r="195" ht="14.25" customHeight="1">
      <c r="A195" s="5"/>
      <c r="F195" s="4"/>
    </row>
    <row r="196" ht="14.25" customHeight="1">
      <c r="A196" s="5"/>
      <c r="F196" s="4"/>
    </row>
    <row r="197" ht="14.25" customHeight="1">
      <c r="A197" s="5"/>
      <c r="F197" s="4"/>
    </row>
    <row r="198" ht="14.25" customHeight="1">
      <c r="A198" s="5"/>
      <c r="F198" s="4"/>
    </row>
    <row r="199" ht="14.25" customHeight="1">
      <c r="A199" s="5"/>
      <c r="F199" s="4"/>
    </row>
    <row r="200" ht="14.25" customHeight="1">
      <c r="A200" s="5"/>
      <c r="F200" s="4"/>
    </row>
    <row r="201" ht="14.25" customHeight="1">
      <c r="A201" s="5"/>
      <c r="F201" s="4"/>
    </row>
    <row r="202" ht="14.25" customHeight="1">
      <c r="A202" s="5"/>
      <c r="F202" s="4"/>
    </row>
    <row r="203" ht="14.25" customHeight="1">
      <c r="A203" s="5"/>
      <c r="F203" s="4"/>
    </row>
    <row r="204" ht="14.25" customHeight="1">
      <c r="A204" s="5"/>
      <c r="F204" s="4"/>
    </row>
    <row r="205" ht="14.25" customHeight="1">
      <c r="A205" s="5"/>
      <c r="F205" s="4"/>
    </row>
    <row r="206" ht="14.25" customHeight="1">
      <c r="A206" s="5"/>
      <c r="F206" s="4"/>
    </row>
    <row r="207" ht="14.25" customHeight="1">
      <c r="A207" s="5"/>
      <c r="F207" s="4"/>
    </row>
    <row r="208" ht="14.25" customHeight="1">
      <c r="A208" s="5"/>
      <c r="F208" s="4"/>
    </row>
    <row r="209" ht="14.25" customHeight="1">
      <c r="A209" s="5"/>
      <c r="F209" s="4"/>
    </row>
    <row r="210" ht="14.25" customHeight="1">
      <c r="A210" s="5"/>
      <c r="F210" s="4"/>
    </row>
    <row r="211" ht="14.25" customHeight="1">
      <c r="A211" s="5"/>
      <c r="F211" s="4"/>
    </row>
    <row r="212" ht="14.25" customHeight="1">
      <c r="A212" s="5"/>
      <c r="F212" s="4"/>
    </row>
    <row r="213" ht="14.25" customHeight="1">
      <c r="A213" s="5"/>
      <c r="F213" s="4"/>
    </row>
    <row r="214" ht="14.25" customHeight="1">
      <c r="A214" s="5"/>
      <c r="F214" s="4"/>
    </row>
    <row r="215" ht="14.25" customHeight="1">
      <c r="A215" s="5"/>
      <c r="F215" s="4"/>
    </row>
    <row r="216" ht="14.25" customHeight="1">
      <c r="A216" s="5"/>
      <c r="F216" s="4"/>
    </row>
    <row r="217" ht="14.25" customHeight="1">
      <c r="A217" s="5"/>
      <c r="F217" s="4"/>
    </row>
    <row r="218" ht="14.25" customHeight="1">
      <c r="A218" s="5"/>
      <c r="F218" s="4"/>
    </row>
    <row r="219" ht="14.25" customHeight="1">
      <c r="A219" s="5"/>
      <c r="F219" s="4"/>
    </row>
    <row r="220" ht="14.25" customHeight="1">
      <c r="A220" s="5"/>
      <c r="F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3:D7"/>
    <mergeCell ref="D9:D11"/>
    <mergeCell ref="D13:D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4.14"/>
    <col customWidth="1" min="2" max="2" width="28.14"/>
    <col customWidth="1" min="3" max="3" width="2.86"/>
    <col customWidth="1" min="4" max="4" width="10.71"/>
    <col customWidth="1" min="5" max="5" width="10.86"/>
    <col customWidth="1" min="6" max="6" width="11.57"/>
    <col customWidth="1" min="7" max="8" width="11.14"/>
    <col customWidth="1" min="9" max="9" width="9.86"/>
    <col customWidth="1" min="10" max="10" width="10.71"/>
    <col customWidth="1" min="11" max="11" width="4.0"/>
    <col customWidth="1" min="12" max="13" width="10.71"/>
    <col customWidth="1" min="14" max="14" width="11.57"/>
    <col customWidth="1" min="15" max="16" width="11.14"/>
    <col customWidth="1" min="17" max="18" width="10.71"/>
    <col customWidth="1" min="19" max="19" width="4.71"/>
    <col customWidth="1" min="20" max="21" width="10.71"/>
    <col customWidth="1" min="22" max="22" width="11.57"/>
    <col customWidth="1" min="23" max="24" width="11.14"/>
    <col customWidth="1" min="25" max="26" width="10.71"/>
    <col customWidth="1" min="27" max="27" width="3.43"/>
    <col customWidth="1" min="28" max="29" width="10.71"/>
    <col customWidth="1" min="30" max="30" width="11.57"/>
    <col customWidth="1" min="31" max="32" width="11.14"/>
    <col customWidth="1" min="33" max="34" width="10.71"/>
  </cols>
  <sheetData>
    <row r="1" ht="14.25" customHeight="1">
      <c r="E1" s="3"/>
    </row>
    <row r="2" ht="14.25" customHeight="1">
      <c r="A2" s="7" t="s">
        <v>1</v>
      </c>
      <c r="B2" s="8"/>
      <c r="D2" s="10" t="s">
        <v>7</v>
      </c>
      <c r="E2" s="11"/>
      <c r="F2" s="11"/>
      <c r="G2" s="11"/>
      <c r="H2" s="11"/>
      <c r="I2" s="11"/>
      <c r="J2" s="12"/>
      <c r="L2" s="14" t="s">
        <v>8</v>
      </c>
      <c r="M2" s="11"/>
      <c r="N2" s="11"/>
      <c r="O2" s="11"/>
      <c r="P2" s="11"/>
      <c r="Q2" s="11"/>
      <c r="R2" s="12"/>
      <c r="T2" s="17" t="s">
        <v>9</v>
      </c>
      <c r="U2" s="11"/>
      <c r="V2" s="11"/>
      <c r="W2" s="11"/>
      <c r="X2" s="11"/>
      <c r="Y2" s="11"/>
      <c r="Z2" s="12"/>
      <c r="AB2" s="18" t="s">
        <v>10</v>
      </c>
      <c r="AC2" s="11"/>
      <c r="AD2" s="11"/>
      <c r="AE2" s="11"/>
      <c r="AF2" s="11"/>
      <c r="AG2" s="11"/>
      <c r="AH2" s="12"/>
    </row>
    <row r="3" ht="14.25" customHeight="1">
      <c r="A3" s="21"/>
      <c r="B3" s="22"/>
      <c r="D3" s="23"/>
      <c r="E3" s="24"/>
      <c r="F3" s="24"/>
      <c r="G3" s="24"/>
      <c r="H3" s="24"/>
      <c r="I3" s="24"/>
      <c r="J3" s="25"/>
      <c r="L3" s="28"/>
      <c r="M3" s="29"/>
      <c r="N3" s="29"/>
      <c r="O3" s="29"/>
      <c r="P3" s="29"/>
      <c r="Q3" s="29"/>
      <c r="R3" s="30"/>
      <c r="T3" s="28"/>
      <c r="U3" s="29"/>
      <c r="V3" s="29"/>
      <c r="W3" s="29"/>
      <c r="X3" s="29"/>
      <c r="Y3" s="29"/>
      <c r="Z3" s="30"/>
      <c r="AB3" s="28"/>
      <c r="AC3" s="29"/>
      <c r="AD3" s="29"/>
      <c r="AE3" s="29"/>
      <c r="AF3" s="29"/>
      <c r="AG3" s="29"/>
      <c r="AH3" s="30"/>
    </row>
    <row r="4">
      <c r="A4" s="32" t="s">
        <v>12</v>
      </c>
      <c r="B4" s="32" t="s">
        <v>13</v>
      </c>
      <c r="D4" s="33" t="s">
        <v>14</v>
      </c>
      <c r="E4" s="34" t="s">
        <v>16</v>
      </c>
      <c r="F4" s="35" t="s">
        <v>17</v>
      </c>
      <c r="G4" s="35" t="s">
        <v>18</v>
      </c>
      <c r="H4" s="35" t="s">
        <v>19</v>
      </c>
      <c r="I4" s="36" t="s">
        <v>20</v>
      </c>
      <c r="J4" s="37" t="s">
        <v>22</v>
      </c>
      <c r="L4" s="32" t="s">
        <v>14</v>
      </c>
      <c r="M4" s="38" t="s">
        <v>16</v>
      </c>
      <c r="N4" s="32" t="s">
        <v>17</v>
      </c>
      <c r="O4" s="32" t="s">
        <v>18</v>
      </c>
      <c r="P4" s="32" t="s">
        <v>19</v>
      </c>
      <c r="Q4" s="39" t="s">
        <v>20</v>
      </c>
      <c r="R4" s="40" t="s">
        <v>22</v>
      </c>
      <c r="T4" s="32" t="s">
        <v>14</v>
      </c>
      <c r="U4" s="38" t="s">
        <v>16</v>
      </c>
      <c r="V4" s="32" t="s">
        <v>17</v>
      </c>
      <c r="W4" s="32" t="s">
        <v>18</v>
      </c>
      <c r="X4" s="32" t="s">
        <v>19</v>
      </c>
      <c r="Y4" s="39" t="s">
        <v>20</v>
      </c>
      <c r="Z4" s="40" t="s">
        <v>22</v>
      </c>
      <c r="AB4" s="32" t="s">
        <v>14</v>
      </c>
      <c r="AC4" s="38" t="s">
        <v>16</v>
      </c>
      <c r="AD4" s="32" t="s">
        <v>17</v>
      </c>
      <c r="AE4" s="32" t="s">
        <v>18</v>
      </c>
      <c r="AF4" s="32" t="s">
        <v>19</v>
      </c>
      <c r="AG4" s="39" t="s">
        <v>20</v>
      </c>
      <c r="AH4" s="40" t="s">
        <v>22</v>
      </c>
    </row>
    <row r="5" ht="14.25" customHeight="1">
      <c r="A5" s="41" t="s">
        <v>28</v>
      </c>
      <c r="B5" s="43">
        <v>1087000.0</v>
      </c>
      <c r="D5" s="45">
        <v>1.0</v>
      </c>
      <c r="E5" s="46">
        <v>0.1</v>
      </c>
      <c r="F5" s="48">
        <f>H5</f>
        <v>978300</v>
      </c>
      <c r="G5" s="48">
        <v>0.0</v>
      </c>
      <c r="H5" s="48">
        <f>B5-(B5*E5)</f>
        <v>978300</v>
      </c>
      <c r="I5" s="48">
        <f>H5/J$5</f>
        <v>10870</v>
      </c>
      <c r="J5" s="50">
        <v>90.0</v>
      </c>
      <c r="L5" s="45">
        <f>$D$5</f>
        <v>1</v>
      </c>
      <c r="M5" s="46">
        <f t="shared" ref="M5:M45" si="1">E5+5%</f>
        <v>0.15</v>
      </c>
      <c r="N5" s="48">
        <f>P5</f>
        <v>923950</v>
      </c>
      <c r="O5" s="48">
        <v>0.0</v>
      </c>
      <c r="P5" s="48">
        <f t="shared" ref="P5:P6" si="2">$B$5-($B$5*M5)</f>
        <v>923950</v>
      </c>
      <c r="Q5" s="48">
        <f>P5/R5</f>
        <v>10266.11111</v>
      </c>
      <c r="R5" s="50">
        <f>J5</f>
        <v>90</v>
      </c>
      <c r="T5" s="45">
        <f>$D$5</f>
        <v>1</v>
      </c>
      <c r="U5" s="46">
        <f t="shared" ref="U5:U45" si="3">M5+5%</f>
        <v>0.2</v>
      </c>
      <c r="V5" s="48">
        <f>X5</f>
        <v>869600</v>
      </c>
      <c r="W5" s="48">
        <v>0.0</v>
      </c>
      <c r="X5" s="48">
        <f t="shared" ref="X5:X6" si="4">$B$5-($B$5*U5)</f>
        <v>869600</v>
      </c>
      <c r="Y5" s="48">
        <f>X5/Z5</f>
        <v>9662.222222</v>
      </c>
      <c r="Z5" s="50">
        <f>R5</f>
        <v>90</v>
      </c>
      <c r="AB5" s="45">
        <f>$D$5</f>
        <v>1</v>
      </c>
      <c r="AC5" s="46">
        <f t="shared" ref="AC5:AC45" si="5">U5+5%</f>
        <v>0.25</v>
      </c>
      <c r="AD5" s="48">
        <f>AF5</f>
        <v>815250</v>
      </c>
      <c r="AE5" s="48">
        <v>0.0</v>
      </c>
      <c r="AF5" s="48">
        <f t="shared" ref="AF5:AF6" si="6">$B$5-($B$5*AC5)</f>
        <v>815250</v>
      </c>
      <c r="AG5" s="48">
        <f>AF5/AH5</f>
        <v>9058.333333</v>
      </c>
      <c r="AH5" s="50">
        <f>Z5</f>
        <v>90</v>
      </c>
    </row>
    <row r="6" ht="14.25" customHeight="1">
      <c r="A6" s="68"/>
      <c r="B6" s="69"/>
      <c r="D6" s="71">
        <v>3.0</v>
      </c>
      <c r="E6" s="72">
        <v>0.0</v>
      </c>
      <c r="F6" s="73">
        <f>H6/D6</f>
        <v>362333.3333</v>
      </c>
      <c r="G6" s="74">
        <f>(H6-F6)/(D6-1)</f>
        <v>362333.3333</v>
      </c>
      <c r="H6" s="74">
        <f>B5-(B5*E6)</f>
        <v>1087000</v>
      </c>
      <c r="I6" s="74">
        <f>H6/J5</f>
        <v>12077.77778</v>
      </c>
      <c r="J6" s="75">
        <v>27.0</v>
      </c>
      <c r="L6" s="71">
        <f>$D$6</f>
        <v>3</v>
      </c>
      <c r="M6" s="72">
        <f t="shared" si="1"/>
        <v>0.05</v>
      </c>
      <c r="N6" s="73">
        <f>P6/L6</f>
        <v>344216.6667</v>
      </c>
      <c r="O6" s="74">
        <f>(P6-N6)/(L6-1)</f>
        <v>344216.6667</v>
      </c>
      <c r="P6" s="74">
        <f t="shared" si="2"/>
        <v>1032650</v>
      </c>
      <c r="Q6" s="74">
        <f>P6/R5</f>
        <v>11473.88889</v>
      </c>
      <c r="R6" s="75">
        <v>27.0</v>
      </c>
      <c r="T6" s="71">
        <f>$D$6</f>
        <v>3</v>
      </c>
      <c r="U6" s="72">
        <f t="shared" si="3"/>
        <v>0.1</v>
      </c>
      <c r="V6" s="73">
        <f>X6/T6</f>
        <v>326100</v>
      </c>
      <c r="W6" s="74">
        <f>(X6-V6)/(T6-1)</f>
        <v>326100</v>
      </c>
      <c r="X6" s="74">
        <f t="shared" si="4"/>
        <v>978300</v>
      </c>
      <c r="Y6" s="74">
        <f>X6/Z5</f>
        <v>10870</v>
      </c>
      <c r="Z6" s="75">
        <v>27.0</v>
      </c>
      <c r="AB6" s="71">
        <f>$D$6</f>
        <v>3</v>
      </c>
      <c r="AC6" s="72">
        <f t="shared" si="5"/>
        <v>0.15</v>
      </c>
      <c r="AD6" s="73">
        <f>AF6/AB6</f>
        <v>307983.3333</v>
      </c>
      <c r="AE6" s="74">
        <f>(AF6-AD6)/(AB6-1)</f>
        <v>307983.3333</v>
      </c>
      <c r="AF6" s="74">
        <f t="shared" si="6"/>
        <v>923950</v>
      </c>
      <c r="AG6" s="74">
        <f>AF6/AH5</f>
        <v>10266.11111</v>
      </c>
      <c r="AH6" s="75">
        <v>27.0</v>
      </c>
    </row>
    <row r="7" ht="14.25" customHeight="1">
      <c r="A7" s="41" t="s">
        <v>44</v>
      </c>
      <c r="B7" s="43">
        <v>1377000.0</v>
      </c>
      <c r="D7" s="45">
        <v>1.0</v>
      </c>
      <c r="E7" s="46">
        <v>0.1</v>
      </c>
      <c r="F7" s="48">
        <f>H7</f>
        <v>1239300</v>
      </c>
      <c r="G7" s="48">
        <v>0.0</v>
      </c>
      <c r="H7" s="48">
        <f>B7-(B7*E7)</f>
        <v>1239300</v>
      </c>
      <c r="I7" s="80">
        <f>H7/J7</f>
        <v>10871.05263</v>
      </c>
      <c r="J7" s="50">
        <v>114.0</v>
      </c>
      <c r="L7" s="45">
        <f>$D$7</f>
        <v>1</v>
      </c>
      <c r="M7" s="46">
        <f t="shared" si="1"/>
        <v>0.15</v>
      </c>
      <c r="N7" s="48">
        <f>P7</f>
        <v>1170450</v>
      </c>
      <c r="O7" s="48">
        <v>0.0</v>
      </c>
      <c r="P7" s="48">
        <f t="shared" ref="P7:P8" si="7">$B$7-($B$7*M7)</f>
        <v>1170450</v>
      </c>
      <c r="Q7" s="48">
        <f>P7/R7</f>
        <v>10267.10526</v>
      </c>
      <c r="R7" s="50">
        <f>J7</f>
        <v>114</v>
      </c>
      <c r="T7" s="45">
        <f>$D$7</f>
        <v>1</v>
      </c>
      <c r="U7" s="46">
        <f t="shared" si="3"/>
        <v>0.2</v>
      </c>
      <c r="V7" s="48">
        <f>X7</f>
        <v>1101600</v>
      </c>
      <c r="W7" s="48">
        <v>0.0</v>
      </c>
      <c r="X7" s="48">
        <f t="shared" ref="X7:X8" si="8">$B$7-($B$7*U7)</f>
        <v>1101600</v>
      </c>
      <c r="Y7" s="48">
        <f>X7/Z7</f>
        <v>9663.157895</v>
      </c>
      <c r="Z7" s="50">
        <f>R7</f>
        <v>114</v>
      </c>
      <c r="AB7" s="45">
        <f>$D$7</f>
        <v>1</v>
      </c>
      <c r="AC7" s="46">
        <f t="shared" si="5"/>
        <v>0.25</v>
      </c>
      <c r="AD7" s="48">
        <f>AF7</f>
        <v>1032750</v>
      </c>
      <c r="AE7" s="48">
        <v>0.0</v>
      </c>
      <c r="AF7" s="48">
        <f t="shared" ref="AF7:AF8" si="9">$B$7-($B$7*AC7)</f>
        <v>1032750</v>
      </c>
      <c r="AG7" s="48">
        <f>AF7/AH7</f>
        <v>9059.210526</v>
      </c>
      <c r="AH7" s="50">
        <f>Z7</f>
        <v>114</v>
      </c>
    </row>
    <row r="8" ht="14.25" customHeight="1">
      <c r="A8" s="68"/>
      <c r="B8" s="69"/>
      <c r="D8" s="71">
        <v>3.0</v>
      </c>
      <c r="E8" s="72">
        <v>0.0</v>
      </c>
      <c r="F8" s="73">
        <f>H8/D8</f>
        <v>459000</v>
      </c>
      <c r="G8" s="74">
        <f>(H8-F8)/(D8-1)</f>
        <v>459000</v>
      </c>
      <c r="H8" s="74">
        <f>B7-(B7*E8)</f>
        <v>1377000</v>
      </c>
      <c r="I8" s="74">
        <f>B7/J7</f>
        <v>12078.94737</v>
      </c>
      <c r="J8" s="75">
        <v>27.0</v>
      </c>
      <c r="L8" s="71">
        <f>$D$8</f>
        <v>3</v>
      </c>
      <c r="M8" s="72">
        <f t="shared" si="1"/>
        <v>0.05</v>
      </c>
      <c r="N8" s="73">
        <f>P8/L8</f>
        <v>436050</v>
      </c>
      <c r="O8" s="74">
        <f>(P8-N8)/(L8-1)</f>
        <v>436050</v>
      </c>
      <c r="P8" s="74">
        <f t="shared" si="7"/>
        <v>1308150</v>
      </c>
      <c r="Q8" s="74">
        <f>P8/R7</f>
        <v>11475</v>
      </c>
      <c r="R8" s="75">
        <v>27.0</v>
      </c>
      <c r="T8" s="71">
        <f>$D$8</f>
        <v>3</v>
      </c>
      <c r="U8" s="72">
        <f t="shared" si="3"/>
        <v>0.1</v>
      </c>
      <c r="V8" s="73">
        <f>X8/T8</f>
        <v>413100</v>
      </c>
      <c r="W8" s="74">
        <f>(X8-V8)/(T8-1)</f>
        <v>413100</v>
      </c>
      <c r="X8" s="74">
        <f t="shared" si="8"/>
        <v>1239300</v>
      </c>
      <c r="Y8" s="74">
        <f>X8/Z7</f>
        <v>10871.05263</v>
      </c>
      <c r="Z8" s="75">
        <v>27.0</v>
      </c>
      <c r="AB8" s="71">
        <f>$D$8</f>
        <v>3</v>
      </c>
      <c r="AC8" s="72">
        <f t="shared" si="5"/>
        <v>0.15</v>
      </c>
      <c r="AD8" s="73">
        <f>AF8/AB8</f>
        <v>390150</v>
      </c>
      <c r="AE8" s="74">
        <f>(AF8-AD8)/(AB8-1)</f>
        <v>390150</v>
      </c>
      <c r="AF8" s="74">
        <f t="shared" si="9"/>
        <v>1170450</v>
      </c>
      <c r="AG8" s="74">
        <f>AF8/AH7</f>
        <v>10267.10526</v>
      </c>
      <c r="AH8" s="75">
        <v>27.0</v>
      </c>
    </row>
    <row r="9" ht="14.25" customHeight="1">
      <c r="A9" s="41" t="s">
        <v>45</v>
      </c>
      <c r="B9" s="43">
        <v>1920000.0</v>
      </c>
      <c r="D9" s="45">
        <v>1.0</v>
      </c>
      <c r="E9" s="46">
        <v>0.1</v>
      </c>
      <c r="F9" s="48">
        <f>H9</f>
        <v>1728000</v>
      </c>
      <c r="G9" s="48">
        <v>0.0</v>
      </c>
      <c r="H9" s="48">
        <f>B9-(B9*E9)</f>
        <v>1728000</v>
      </c>
      <c r="I9" s="80">
        <f>H9/J9</f>
        <v>10867.92453</v>
      </c>
      <c r="J9" s="50">
        <v>159.0</v>
      </c>
      <c r="L9" s="45">
        <f>$D$9</f>
        <v>1</v>
      </c>
      <c r="M9" s="46">
        <f t="shared" si="1"/>
        <v>0.15</v>
      </c>
      <c r="N9" s="48">
        <f>P9</f>
        <v>1632000</v>
      </c>
      <c r="O9" s="48">
        <v>0.0</v>
      </c>
      <c r="P9" s="48">
        <f t="shared" ref="P9:P10" si="10">$B$9-($B$9*M9)</f>
        <v>1632000</v>
      </c>
      <c r="Q9" s="48">
        <f>P9/R9</f>
        <v>10264.15094</v>
      </c>
      <c r="R9" s="50">
        <f>J9</f>
        <v>159</v>
      </c>
      <c r="T9" s="45">
        <f>$D$9</f>
        <v>1</v>
      </c>
      <c r="U9" s="46">
        <f t="shared" si="3"/>
        <v>0.2</v>
      </c>
      <c r="V9" s="48">
        <f>X9</f>
        <v>1536000</v>
      </c>
      <c r="W9" s="48">
        <v>0.0</v>
      </c>
      <c r="X9" s="48">
        <f t="shared" ref="X9:X10" si="11">$B$9-($B$9*U9)</f>
        <v>1536000</v>
      </c>
      <c r="Y9" s="48">
        <f>X9/Z9</f>
        <v>9660.377358</v>
      </c>
      <c r="Z9" s="50">
        <f>R9</f>
        <v>159</v>
      </c>
      <c r="AB9" s="45">
        <f>$D$9</f>
        <v>1</v>
      </c>
      <c r="AC9" s="46">
        <f t="shared" si="5"/>
        <v>0.25</v>
      </c>
      <c r="AD9" s="48">
        <f>AF9</f>
        <v>1440000</v>
      </c>
      <c r="AE9" s="48">
        <v>0.0</v>
      </c>
      <c r="AF9" s="48">
        <f t="shared" ref="AF9:AF10" si="12">$B$9-($B$9*AC9)</f>
        <v>1440000</v>
      </c>
      <c r="AG9" s="48">
        <f>AF9/AH9</f>
        <v>9056.603774</v>
      </c>
      <c r="AH9" s="50">
        <f>Z9</f>
        <v>159</v>
      </c>
    </row>
    <row r="10" ht="14.25" customHeight="1">
      <c r="A10" s="68"/>
      <c r="B10" s="69"/>
      <c r="D10" s="71">
        <v>3.0</v>
      </c>
      <c r="E10" s="72">
        <v>0.0</v>
      </c>
      <c r="F10" s="73">
        <f>H10/D10</f>
        <v>640000</v>
      </c>
      <c r="G10" s="74">
        <f>(H10-F10)/(D10-1)</f>
        <v>640000</v>
      </c>
      <c r="H10" s="74">
        <f>B9-(B9*E10)</f>
        <v>1920000</v>
      </c>
      <c r="I10" s="74">
        <f>B9/J9</f>
        <v>12075.4717</v>
      </c>
      <c r="J10" s="98">
        <f>J9/D10</f>
        <v>53</v>
      </c>
      <c r="L10" s="71">
        <f>$D$10</f>
        <v>3</v>
      </c>
      <c r="M10" s="72">
        <f t="shared" si="1"/>
        <v>0.05</v>
      </c>
      <c r="N10" s="73">
        <f>P10/L10</f>
        <v>608000</v>
      </c>
      <c r="O10" s="74">
        <f>(P10-N10)/(L10-1)</f>
        <v>608000</v>
      </c>
      <c r="P10" s="74">
        <f t="shared" si="10"/>
        <v>1824000</v>
      </c>
      <c r="Q10" s="74">
        <f>P10/R9</f>
        <v>11471.69811</v>
      </c>
      <c r="R10" s="98">
        <v>27.0</v>
      </c>
      <c r="T10" s="71">
        <f>$D$10</f>
        <v>3</v>
      </c>
      <c r="U10" s="72">
        <f t="shared" si="3"/>
        <v>0.1</v>
      </c>
      <c r="V10" s="73">
        <f>X10/T10</f>
        <v>576000</v>
      </c>
      <c r="W10" s="74">
        <f>(X10-V10)/(T10-1)</f>
        <v>576000</v>
      </c>
      <c r="X10" s="74">
        <f t="shared" si="11"/>
        <v>1728000</v>
      </c>
      <c r="Y10" s="74">
        <f>X10/Z9</f>
        <v>10867.92453</v>
      </c>
      <c r="Z10" s="98">
        <v>27.0</v>
      </c>
      <c r="AB10" s="71">
        <f>$D$10</f>
        <v>3</v>
      </c>
      <c r="AC10" s="72">
        <f t="shared" si="5"/>
        <v>0.15</v>
      </c>
      <c r="AD10" s="73">
        <f>AF10/AB10</f>
        <v>544000</v>
      </c>
      <c r="AE10" s="74">
        <f>(AF10-AD10)/(AB10-1)</f>
        <v>544000</v>
      </c>
      <c r="AF10" s="74">
        <f t="shared" si="12"/>
        <v>1632000</v>
      </c>
      <c r="AG10" s="74">
        <f>AF10/AH9</f>
        <v>10264.15094</v>
      </c>
      <c r="AH10" s="98">
        <v>27.0</v>
      </c>
    </row>
    <row r="11" ht="14.25" customHeight="1">
      <c r="A11" s="41" t="s">
        <v>46</v>
      </c>
      <c r="B11" s="43">
        <v>1920000.0</v>
      </c>
      <c r="D11" s="45">
        <v>1.0</v>
      </c>
      <c r="E11" s="46">
        <v>0.1</v>
      </c>
      <c r="F11" s="48">
        <f>H11</f>
        <v>1728000</v>
      </c>
      <c r="G11" s="48">
        <v>0.0</v>
      </c>
      <c r="H11" s="48">
        <f>B11-(B11*E11)</f>
        <v>1728000</v>
      </c>
      <c r="I11" s="80">
        <f>H11/J11</f>
        <v>10867.92453</v>
      </c>
      <c r="J11" s="50">
        <v>159.0</v>
      </c>
      <c r="L11" s="45">
        <f>$D$11</f>
        <v>1</v>
      </c>
      <c r="M11" s="46">
        <f t="shared" si="1"/>
        <v>0.15</v>
      </c>
      <c r="N11" s="48">
        <f>P11</f>
        <v>1632000</v>
      </c>
      <c r="O11" s="48">
        <v>0.0</v>
      </c>
      <c r="P11" s="48">
        <f t="shared" ref="P11:P12" si="13">$B$11-($B$11*M11)</f>
        <v>1632000</v>
      </c>
      <c r="Q11" s="48">
        <f>P11/R11</f>
        <v>10264.15094</v>
      </c>
      <c r="R11" s="50">
        <f>J11</f>
        <v>159</v>
      </c>
      <c r="T11" s="45">
        <f>$D$11</f>
        <v>1</v>
      </c>
      <c r="U11" s="46">
        <f t="shared" si="3"/>
        <v>0.2</v>
      </c>
      <c r="V11" s="48">
        <f>X11</f>
        <v>1536000</v>
      </c>
      <c r="W11" s="48">
        <v>0.0</v>
      </c>
      <c r="X11" s="48">
        <f t="shared" ref="X11:X12" si="14">$B$11-($B$11*U11)</f>
        <v>1536000</v>
      </c>
      <c r="Y11" s="48">
        <f>X11/Z11</f>
        <v>9660.377358</v>
      </c>
      <c r="Z11" s="50">
        <f>R11</f>
        <v>159</v>
      </c>
      <c r="AB11" s="45">
        <f>$D$11</f>
        <v>1</v>
      </c>
      <c r="AC11" s="46">
        <f t="shared" si="5"/>
        <v>0.25</v>
      </c>
      <c r="AD11" s="48">
        <f>AF11</f>
        <v>1440000</v>
      </c>
      <c r="AE11" s="48">
        <v>0.0</v>
      </c>
      <c r="AF11" s="48">
        <f t="shared" ref="AF11:AF12" si="15">$B$11-($B$11*AC11)</f>
        <v>1440000</v>
      </c>
      <c r="AG11" s="48">
        <f>AF11/AH11</f>
        <v>9056.603774</v>
      </c>
      <c r="AH11" s="50">
        <f>Z11</f>
        <v>159</v>
      </c>
    </row>
    <row r="12" ht="14.25" customHeight="1">
      <c r="A12" s="68"/>
      <c r="B12" s="69"/>
      <c r="D12" s="71">
        <v>3.0</v>
      </c>
      <c r="E12" s="72">
        <v>0.0</v>
      </c>
      <c r="F12" s="73">
        <f>H12/D12</f>
        <v>640000</v>
      </c>
      <c r="G12" s="74">
        <f>(H12-F12)/(D12-1)</f>
        <v>640000</v>
      </c>
      <c r="H12" s="74">
        <f>B11-(B11*E12)</f>
        <v>1920000</v>
      </c>
      <c r="I12" s="74">
        <f>B11/J11</f>
        <v>12075.4717</v>
      </c>
      <c r="J12" s="98">
        <f>J11/D12</f>
        <v>53</v>
      </c>
      <c r="L12" s="71">
        <f>$D$12</f>
        <v>3</v>
      </c>
      <c r="M12" s="72">
        <f t="shared" si="1"/>
        <v>0.05</v>
      </c>
      <c r="N12" s="73">
        <f>P12/L12</f>
        <v>608000</v>
      </c>
      <c r="O12" s="74">
        <f>(P12-N12)/(L12-1)</f>
        <v>608000</v>
      </c>
      <c r="P12" s="74">
        <f t="shared" si="13"/>
        <v>1824000</v>
      </c>
      <c r="Q12" s="74">
        <f>P12/R11</f>
        <v>11471.69811</v>
      </c>
      <c r="R12" s="98">
        <v>27.0</v>
      </c>
      <c r="T12" s="71">
        <f>$D$12</f>
        <v>3</v>
      </c>
      <c r="U12" s="72">
        <f t="shared" si="3"/>
        <v>0.1</v>
      </c>
      <c r="V12" s="73">
        <f>X12/T12</f>
        <v>576000</v>
      </c>
      <c r="W12" s="74">
        <f>(X12-V12)/(T12-1)</f>
        <v>576000</v>
      </c>
      <c r="X12" s="74">
        <f t="shared" si="14"/>
        <v>1728000</v>
      </c>
      <c r="Y12" s="74">
        <f>X12/Z11</f>
        <v>10867.92453</v>
      </c>
      <c r="Z12" s="98">
        <v>27.0</v>
      </c>
      <c r="AB12" s="71">
        <f>$D$12</f>
        <v>3</v>
      </c>
      <c r="AC12" s="72">
        <f t="shared" si="5"/>
        <v>0.15</v>
      </c>
      <c r="AD12" s="73">
        <f>AF12/AB12</f>
        <v>544000</v>
      </c>
      <c r="AE12" s="74">
        <f>(AF12-AD12)/(AB12-1)</f>
        <v>544000</v>
      </c>
      <c r="AF12" s="74">
        <f t="shared" si="15"/>
        <v>1632000</v>
      </c>
      <c r="AG12" s="74">
        <f>AF12/AH11</f>
        <v>10264.15094</v>
      </c>
      <c r="AH12" s="98">
        <v>27.0</v>
      </c>
    </row>
    <row r="13" ht="14.25" customHeight="1">
      <c r="A13" s="41" t="s">
        <v>49</v>
      </c>
      <c r="B13" s="43">
        <v>1920000.0</v>
      </c>
      <c r="D13" s="45">
        <v>1.0</v>
      </c>
      <c r="E13" s="46">
        <v>0.1</v>
      </c>
      <c r="F13" s="48">
        <f>H13</f>
        <v>1728000</v>
      </c>
      <c r="G13" s="48">
        <v>0.0</v>
      </c>
      <c r="H13" s="48">
        <f>B13-(B13*E13)</f>
        <v>1728000</v>
      </c>
      <c r="I13" s="80">
        <f>H13/J13</f>
        <v>10867.92453</v>
      </c>
      <c r="J13" s="50">
        <v>159.0</v>
      </c>
      <c r="L13" s="45">
        <f>$D$13</f>
        <v>1</v>
      </c>
      <c r="M13" s="46">
        <f t="shared" si="1"/>
        <v>0.15</v>
      </c>
      <c r="N13" s="48">
        <f>P13</f>
        <v>1632000</v>
      </c>
      <c r="O13" s="48">
        <v>0.0</v>
      </c>
      <c r="P13" s="48">
        <f t="shared" ref="P13:P14" si="16">$B$13-($B$13*M13)</f>
        <v>1632000</v>
      </c>
      <c r="Q13" s="48">
        <f>P13/R13</f>
        <v>10264.15094</v>
      </c>
      <c r="R13" s="50">
        <f>J13</f>
        <v>159</v>
      </c>
      <c r="T13" s="45">
        <f>$D$13</f>
        <v>1</v>
      </c>
      <c r="U13" s="46">
        <f t="shared" si="3"/>
        <v>0.2</v>
      </c>
      <c r="V13" s="48">
        <f>X13</f>
        <v>1536000</v>
      </c>
      <c r="W13" s="48">
        <v>0.0</v>
      </c>
      <c r="X13" s="48">
        <f t="shared" ref="X13:X14" si="17">$B$13-($B$13*U13)</f>
        <v>1536000</v>
      </c>
      <c r="Y13" s="48">
        <f>X13/Z13</f>
        <v>9660.377358</v>
      </c>
      <c r="Z13" s="50">
        <f>R13</f>
        <v>159</v>
      </c>
      <c r="AB13" s="45">
        <f>$D$13</f>
        <v>1</v>
      </c>
      <c r="AC13" s="46">
        <f t="shared" si="5"/>
        <v>0.25</v>
      </c>
      <c r="AD13" s="48">
        <f>AF13</f>
        <v>1440000</v>
      </c>
      <c r="AE13" s="48">
        <v>0.0</v>
      </c>
      <c r="AF13" s="48">
        <f t="shared" ref="AF13:AF14" si="18">$B$13-($B$13*AC13)</f>
        <v>1440000</v>
      </c>
      <c r="AG13" s="48">
        <f>AF13/AH13</f>
        <v>9056.603774</v>
      </c>
      <c r="AH13" s="50">
        <f>Z13</f>
        <v>159</v>
      </c>
    </row>
    <row r="14" ht="14.25" customHeight="1">
      <c r="A14" s="68"/>
      <c r="B14" s="69"/>
      <c r="D14" s="71">
        <v>3.0</v>
      </c>
      <c r="E14" s="72">
        <v>0.0</v>
      </c>
      <c r="F14" s="73">
        <f>H14/D14</f>
        <v>640000</v>
      </c>
      <c r="G14" s="74">
        <f>(H14-F14)/(D14-1)</f>
        <v>640000</v>
      </c>
      <c r="H14" s="74">
        <f>B13-(B13*E14)</f>
        <v>1920000</v>
      </c>
      <c r="I14" s="74">
        <f>B13/J13</f>
        <v>12075.4717</v>
      </c>
      <c r="J14" s="98">
        <f>J13/D14</f>
        <v>53</v>
      </c>
      <c r="L14" s="71">
        <f>$D$14</f>
        <v>3</v>
      </c>
      <c r="M14" s="72">
        <f t="shared" si="1"/>
        <v>0.05</v>
      </c>
      <c r="N14" s="73">
        <f>P14/L14</f>
        <v>608000</v>
      </c>
      <c r="O14" s="74">
        <f>(P14-N14)/(L14-1)</f>
        <v>608000</v>
      </c>
      <c r="P14" s="74">
        <f t="shared" si="16"/>
        <v>1824000</v>
      </c>
      <c r="Q14" s="74">
        <f>P14/R13</f>
        <v>11471.69811</v>
      </c>
      <c r="R14" s="98">
        <v>27.0</v>
      </c>
      <c r="T14" s="71">
        <f>$D$14</f>
        <v>3</v>
      </c>
      <c r="U14" s="72">
        <f t="shared" si="3"/>
        <v>0.1</v>
      </c>
      <c r="V14" s="73">
        <f>X14/T14</f>
        <v>576000</v>
      </c>
      <c r="W14" s="74">
        <f>(X14-V14)/(T14-1)</f>
        <v>576000</v>
      </c>
      <c r="X14" s="74">
        <f t="shared" si="17"/>
        <v>1728000</v>
      </c>
      <c r="Y14" s="74">
        <f>X14/Z13</f>
        <v>10867.92453</v>
      </c>
      <c r="Z14" s="98">
        <v>27.0</v>
      </c>
      <c r="AB14" s="71">
        <f>$D$14</f>
        <v>3</v>
      </c>
      <c r="AC14" s="72">
        <f t="shared" si="5"/>
        <v>0.15</v>
      </c>
      <c r="AD14" s="73">
        <f>AF14/AB14</f>
        <v>544000</v>
      </c>
      <c r="AE14" s="74">
        <f>(AF14-AD14)/(AB14-1)</f>
        <v>544000</v>
      </c>
      <c r="AF14" s="74">
        <f t="shared" si="18"/>
        <v>1632000</v>
      </c>
      <c r="AG14" s="74">
        <f>AF14/AH13</f>
        <v>10264.15094</v>
      </c>
      <c r="AH14" s="98">
        <v>27.0</v>
      </c>
    </row>
    <row r="15" ht="14.25" customHeight="1">
      <c r="A15" s="109" t="s">
        <v>50</v>
      </c>
      <c r="B15" s="110">
        <f>B5+B7</f>
        <v>2464000</v>
      </c>
      <c r="D15" s="111">
        <v>1.0</v>
      </c>
      <c r="E15" s="112">
        <v>0.2</v>
      </c>
      <c r="F15" s="113">
        <f>H15</f>
        <v>1971200</v>
      </c>
      <c r="G15" s="113">
        <v>0.0</v>
      </c>
      <c r="H15" s="113">
        <f>B15-(B15*E15)</f>
        <v>1971200</v>
      </c>
      <c r="I15" s="115">
        <f>H15/J15</f>
        <v>9662.745098</v>
      </c>
      <c r="J15" s="116">
        <f>J5+J7</f>
        <v>204</v>
      </c>
      <c r="L15" s="124">
        <f>$D$15</f>
        <v>1</v>
      </c>
      <c r="M15" s="125">
        <f t="shared" si="1"/>
        <v>0.25</v>
      </c>
      <c r="N15" s="126">
        <f>P15</f>
        <v>1848000</v>
      </c>
      <c r="O15" s="126">
        <v>0.0</v>
      </c>
      <c r="P15" s="126">
        <f t="shared" ref="P15:P17" si="19">$B$15-($B$15*M15)</f>
        <v>1848000</v>
      </c>
      <c r="Q15" s="127">
        <f>P15/R15</f>
        <v>9058.823529</v>
      </c>
      <c r="R15" s="128">
        <f>J15</f>
        <v>204</v>
      </c>
      <c r="T15" s="124">
        <f>$D$15</f>
        <v>1</v>
      </c>
      <c r="U15" s="125">
        <f t="shared" si="3"/>
        <v>0.3</v>
      </c>
      <c r="V15" s="126">
        <f>X15</f>
        <v>1724800</v>
      </c>
      <c r="W15" s="126">
        <v>0.0</v>
      </c>
      <c r="X15" s="126">
        <f t="shared" ref="X15:X17" si="20">$B$15-($B$15*U15)</f>
        <v>1724800</v>
      </c>
      <c r="Y15" s="127">
        <f>X15/Z15</f>
        <v>8454.901961</v>
      </c>
      <c r="Z15" s="128">
        <f>R15</f>
        <v>204</v>
      </c>
      <c r="AB15" s="124">
        <f>$D$15</f>
        <v>1</v>
      </c>
      <c r="AC15" s="125">
        <f t="shared" si="5"/>
        <v>0.35</v>
      </c>
      <c r="AD15" s="126">
        <f>AF15</f>
        <v>1601600</v>
      </c>
      <c r="AE15" s="126">
        <v>0.0</v>
      </c>
      <c r="AF15" s="126">
        <f t="shared" ref="AF15:AF17" si="21">$B$15-($B$15*AC15)</f>
        <v>1601600</v>
      </c>
      <c r="AG15" s="127">
        <f>AF15/AH15</f>
        <v>7850.980392</v>
      </c>
      <c r="AH15" s="128">
        <f>Z15</f>
        <v>204</v>
      </c>
    </row>
    <row r="16" ht="14.25" customHeight="1">
      <c r="A16" s="129"/>
      <c r="B16" s="130"/>
      <c r="D16" s="131">
        <v>2.0</v>
      </c>
      <c r="E16" s="132">
        <v>0.15</v>
      </c>
      <c r="F16" s="133">
        <f t="shared" ref="F16:F17" si="22">H16/D16</f>
        <v>1047200</v>
      </c>
      <c r="G16" s="134">
        <f t="shared" ref="G16:G17" si="23">(H16-F16)/(D16-1)</f>
        <v>1047200</v>
      </c>
      <c r="H16" s="134">
        <f>B15-(B15*E16)</f>
        <v>2094400</v>
      </c>
      <c r="I16" s="135">
        <f>H16/J15</f>
        <v>10266.66667</v>
      </c>
      <c r="J16" s="136">
        <f>J15/D16</f>
        <v>102</v>
      </c>
      <c r="L16" s="137">
        <f>$D$16</f>
        <v>2</v>
      </c>
      <c r="M16" s="132">
        <f t="shared" si="1"/>
        <v>0.2</v>
      </c>
      <c r="N16" s="133">
        <f t="shared" ref="N16:N17" si="24">P16/L16</f>
        <v>985600</v>
      </c>
      <c r="O16" s="134">
        <f t="shared" ref="O16:O17" si="25">(P16-N16)/(L16-1)</f>
        <v>985600</v>
      </c>
      <c r="P16" s="126">
        <f t="shared" si="19"/>
        <v>1971200</v>
      </c>
      <c r="Q16" s="135">
        <f>P16/R15</f>
        <v>9662.745098</v>
      </c>
      <c r="R16" s="136">
        <f>R15/L16</f>
        <v>102</v>
      </c>
      <c r="T16" s="137">
        <f>$D$16</f>
        <v>2</v>
      </c>
      <c r="U16" s="132">
        <f t="shared" si="3"/>
        <v>0.25</v>
      </c>
      <c r="V16" s="133">
        <f t="shared" ref="V16:V17" si="26">X16/T16</f>
        <v>924000</v>
      </c>
      <c r="W16" s="134">
        <f t="shared" ref="W16:W17" si="27">(X16-V16)/(T16-1)</f>
        <v>924000</v>
      </c>
      <c r="X16" s="126">
        <f t="shared" si="20"/>
        <v>1848000</v>
      </c>
      <c r="Y16" s="135">
        <f>X16/Z15</f>
        <v>9058.823529</v>
      </c>
      <c r="Z16" s="136">
        <f>Z15/T16</f>
        <v>102</v>
      </c>
      <c r="AB16" s="137">
        <f>$D$16</f>
        <v>2</v>
      </c>
      <c r="AC16" s="132">
        <f t="shared" si="5"/>
        <v>0.3</v>
      </c>
      <c r="AD16" s="133">
        <f t="shared" ref="AD16:AD17" si="28">AF16/AB16</f>
        <v>862400</v>
      </c>
      <c r="AE16" s="134">
        <f t="shared" ref="AE16:AE17" si="29">(AF16-AD16)/(AB16-1)</f>
        <v>862400</v>
      </c>
      <c r="AF16" s="126">
        <f t="shared" si="21"/>
        <v>1724800</v>
      </c>
      <c r="AG16" s="135">
        <f>AF16/AH15</f>
        <v>8454.901961</v>
      </c>
      <c r="AH16" s="136">
        <f>AH15/AB16</f>
        <v>102</v>
      </c>
    </row>
    <row r="17" ht="14.25" customHeight="1">
      <c r="A17" s="145"/>
      <c r="B17" s="146"/>
      <c r="D17" s="131">
        <v>6.0</v>
      </c>
      <c r="E17" s="132">
        <v>0.1</v>
      </c>
      <c r="F17" s="133">
        <f t="shared" si="22"/>
        <v>369600</v>
      </c>
      <c r="G17" s="134">
        <f t="shared" si="23"/>
        <v>369600</v>
      </c>
      <c r="H17" s="134">
        <f>B15-(B15*E17)</f>
        <v>2217600</v>
      </c>
      <c r="I17" s="135">
        <f>H17/J15</f>
        <v>10870.58824</v>
      </c>
      <c r="J17" s="136">
        <f>J15/D17</f>
        <v>34</v>
      </c>
      <c r="L17" s="137">
        <f>$D$17</f>
        <v>6</v>
      </c>
      <c r="M17" s="132">
        <f t="shared" si="1"/>
        <v>0.15</v>
      </c>
      <c r="N17" s="133">
        <f t="shared" si="24"/>
        <v>349066.6667</v>
      </c>
      <c r="O17" s="134">
        <f t="shared" si="25"/>
        <v>349066.6667</v>
      </c>
      <c r="P17" s="134">
        <f t="shared" si="19"/>
        <v>2094400</v>
      </c>
      <c r="Q17" s="135">
        <f>P17/R15</f>
        <v>10266.66667</v>
      </c>
      <c r="R17" s="136">
        <f>R15/L17</f>
        <v>34</v>
      </c>
      <c r="T17" s="137">
        <f>$D$17</f>
        <v>6</v>
      </c>
      <c r="U17" s="132">
        <f t="shared" si="3"/>
        <v>0.2</v>
      </c>
      <c r="V17" s="133">
        <f t="shared" si="26"/>
        <v>328533.3333</v>
      </c>
      <c r="W17" s="134">
        <f t="shared" si="27"/>
        <v>328533.3333</v>
      </c>
      <c r="X17" s="134">
        <f t="shared" si="20"/>
        <v>1971200</v>
      </c>
      <c r="Y17" s="135">
        <f>X17/Z15</f>
        <v>9662.745098</v>
      </c>
      <c r="Z17" s="136">
        <f>Z15/T17</f>
        <v>34</v>
      </c>
      <c r="AB17" s="137">
        <f>$D$17</f>
        <v>6</v>
      </c>
      <c r="AC17" s="132">
        <f t="shared" si="5"/>
        <v>0.25</v>
      </c>
      <c r="AD17" s="133">
        <f t="shared" si="28"/>
        <v>308000</v>
      </c>
      <c r="AE17" s="134">
        <f t="shared" si="29"/>
        <v>308000</v>
      </c>
      <c r="AF17" s="134">
        <f t="shared" si="21"/>
        <v>1848000</v>
      </c>
      <c r="AG17" s="135">
        <f>AF17/AH15</f>
        <v>9058.823529</v>
      </c>
      <c r="AH17" s="136">
        <f>AH15/AB17</f>
        <v>34</v>
      </c>
    </row>
    <row r="18" ht="14.25" customHeight="1">
      <c r="A18" s="109" t="s">
        <v>52</v>
      </c>
      <c r="B18" s="110">
        <f>B7+B9</f>
        <v>3297000</v>
      </c>
      <c r="D18" s="111">
        <v>1.0</v>
      </c>
      <c r="E18" s="112">
        <v>0.2</v>
      </c>
      <c r="F18" s="113">
        <f>H18</f>
        <v>2637600</v>
      </c>
      <c r="G18" s="113">
        <v>0.0</v>
      </c>
      <c r="H18" s="113">
        <f>B18-(B18*E18)</f>
        <v>2637600</v>
      </c>
      <c r="I18" s="115">
        <f>H18/J18</f>
        <v>9661.538462</v>
      </c>
      <c r="J18" s="116">
        <f>J7+J9</f>
        <v>273</v>
      </c>
      <c r="L18" s="152">
        <f>$D$18</f>
        <v>1</v>
      </c>
      <c r="M18" s="112">
        <f t="shared" si="1"/>
        <v>0.25</v>
      </c>
      <c r="N18" s="113">
        <f>P18</f>
        <v>2472750</v>
      </c>
      <c r="O18" s="113">
        <v>0.0</v>
      </c>
      <c r="P18" s="113">
        <f t="shared" ref="P18:P20" si="30">$B$18-($B$18*M18)</f>
        <v>2472750</v>
      </c>
      <c r="Q18" s="115">
        <f>P18/R18</f>
        <v>9057.692308</v>
      </c>
      <c r="R18" s="116">
        <f>J18</f>
        <v>273</v>
      </c>
      <c r="T18" s="152">
        <f>$D$18</f>
        <v>1</v>
      </c>
      <c r="U18" s="112">
        <f t="shared" si="3"/>
        <v>0.3</v>
      </c>
      <c r="V18" s="113">
        <f>X18</f>
        <v>2307900</v>
      </c>
      <c r="W18" s="113">
        <v>0.0</v>
      </c>
      <c r="X18" s="113">
        <f t="shared" ref="X18:X20" si="31">$B$18-($B$18*U18)</f>
        <v>2307900</v>
      </c>
      <c r="Y18" s="115">
        <f>X18/Z18</f>
        <v>8453.846154</v>
      </c>
      <c r="Z18" s="116">
        <f>R18</f>
        <v>273</v>
      </c>
      <c r="AB18" s="152">
        <f>$D$18</f>
        <v>1</v>
      </c>
      <c r="AC18" s="112">
        <f t="shared" si="5"/>
        <v>0.35</v>
      </c>
      <c r="AD18" s="113">
        <f>AF18</f>
        <v>2143050</v>
      </c>
      <c r="AE18" s="113">
        <v>0.0</v>
      </c>
      <c r="AF18" s="113">
        <f t="shared" ref="AF18:AF20" si="32">$B$18-($B$18*AC18)</f>
        <v>2143050</v>
      </c>
      <c r="AG18" s="115">
        <f>AF18/AH18</f>
        <v>7850</v>
      </c>
      <c r="AH18" s="116">
        <f>Z18</f>
        <v>273</v>
      </c>
    </row>
    <row r="19" ht="14.25" customHeight="1">
      <c r="A19" s="129"/>
      <c r="B19" s="130"/>
      <c r="D19" s="131">
        <v>2.0</v>
      </c>
      <c r="E19" s="132">
        <v>0.15</v>
      </c>
      <c r="F19" s="133">
        <f t="shared" ref="F19:F20" si="33">H19/D19</f>
        <v>1401225</v>
      </c>
      <c r="G19" s="134">
        <f t="shared" ref="G19:G20" si="34">(H19-F19)/(D19-1)</f>
        <v>1401225</v>
      </c>
      <c r="H19" s="134">
        <f>B18-(B18*E19)</f>
        <v>2802450</v>
      </c>
      <c r="I19" s="135">
        <f>H19/J18</f>
        <v>10265.38462</v>
      </c>
      <c r="J19" s="136">
        <f>J18/D19</f>
        <v>136.5</v>
      </c>
      <c r="L19" s="137">
        <f>$D$19</f>
        <v>2</v>
      </c>
      <c r="M19" s="132">
        <f t="shared" si="1"/>
        <v>0.2</v>
      </c>
      <c r="N19" s="133">
        <f t="shared" ref="N19:N20" si="35">P19/L19</f>
        <v>1318800</v>
      </c>
      <c r="O19" s="134">
        <f t="shared" ref="O19:O20" si="36">(P19-N19)/(L19-1)</f>
        <v>1318800</v>
      </c>
      <c r="P19" s="134">
        <f t="shared" si="30"/>
        <v>2637600</v>
      </c>
      <c r="Q19" s="135">
        <f>P19/R18</f>
        <v>9661.538462</v>
      </c>
      <c r="R19" s="136">
        <f>R18/L19</f>
        <v>136.5</v>
      </c>
      <c r="T19" s="137">
        <f>$D$19</f>
        <v>2</v>
      </c>
      <c r="U19" s="132">
        <f t="shared" si="3"/>
        <v>0.25</v>
      </c>
      <c r="V19" s="133">
        <f t="shared" ref="V19:V20" si="37">X19/T19</f>
        <v>1236375</v>
      </c>
      <c r="W19" s="134">
        <f t="shared" ref="W19:W20" si="38">(X19-V19)/(T19-1)</f>
        <v>1236375</v>
      </c>
      <c r="X19" s="134">
        <f t="shared" si="31"/>
        <v>2472750</v>
      </c>
      <c r="Y19" s="135">
        <f>X19/Z18</f>
        <v>9057.692308</v>
      </c>
      <c r="Z19" s="136">
        <f>Z18/T19</f>
        <v>136.5</v>
      </c>
      <c r="AB19" s="137">
        <f>$D$19</f>
        <v>2</v>
      </c>
      <c r="AC19" s="132">
        <f t="shared" si="5"/>
        <v>0.3</v>
      </c>
      <c r="AD19" s="133">
        <f t="shared" ref="AD19:AD20" si="39">AF19/AB19</f>
        <v>1153950</v>
      </c>
      <c r="AE19" s="134">
        <f t="shared" ref="AE19:AE20" si="40">(AF19-AD19)/(AB19-1)</f>
        <v>1153950</v>
      </c>
      <c r="AF19" s="134">
        <f t="shared" si="32"/>
        <v>2307900</v>
      </c>
      <c r="AG19" s="135">
        <f>AF19/AH18</f>
        <v>8453.846154</v>
      </c>
      <c r="AH19" s="136">
        <f>AH18/AB19</f>
        <v>136.5</v>
      </c>
    </row>
    <row r="20" ht="14.25" customHeight="1">
      <c r="A20" s="145"/>
      <c r="B20" s="146"/>
      <c r="D20" s="131">
        <v>6.0</v>
      </c>
      <c r="E20" s="132">
        <v>0.1</v>
      </c>
      <c r="F20" s="133">
        <f t="shared" si="33"/>
        <v>494550</v>
      </c>
      <c r="G20" s="134">
        <f t="shared" si="34"/>
        <v>494550</v>
      </c>
      <c r="H20" s="134">
        <f>B18-(B18*E20)</f>
        <v>2967300</v>
      </c>
      <c r="I20" s="135">
        <f>H20/J18</f>
        <v>10869.23077</v>
      </c>
      <c r="J20" s="136">
        <f>J18/D20</f>
        <v>45.5</v>
      </c>
      <c r="L20" s="137">
        <f>$D$20</f>
        <v>6</v>
      </c>
      <c r="M20" s="132">
        <f t="shared" si="1"/>
        <v>0.15</v>
      </c>
      <c r="N20" s="133">
        <f t="shared" si="35"/>
        <v>467075</v>
      </c>
      <c r="O20" s="134">
        <f t="shared" si="36"/>
        <v>467075</v>
      </c>
      <c r="P20" s="134">
        <f t="shared" si="30"/>
        <v>2802450</v>
      </c>
      <c r="Q20" s="135">
        <f>P20/R18</f>
        <v>10265.38462</v>
      </c>
      <c r="R20" s="136">
        <f>R18/L20</f>
        <v>45.5</v>
      </c>
      <c r="T20" s="137">
        <f>$D$20</f>
        <v>6</v>
      </c>
      <c r="U20" s="132">
        <f t="shared" si="3"/>
        <v>0.2</v>
      </c>
      <c r="V20" s="133">
        <f t="shared" si="37"/>
        <v>439600</v>
      </c>
      <c r="W20" s="134">
        <f t="shared" si="38"/>
        <v>439600</v>
      </c>
      <c r="X20" s="134">
        <f t="shared" si="31"/>
        <v>2637600</v>
      </c>
      <c r="Y20" s="135">
        <f>X20/Z18</f>
        <v>9661.538462</v>
      </c>
      <c r="Z20" s="136">
        <f>Z18/T20</f>
        <v>45.5</v>
      </c>
      <c r="AB20" s="137">
        <f>$D$20</f>
        <v>6</v>
      </c>
      <c r="AC20" s="132">
        <f t="shared" si="5"/>
        <v>0.25</v>
      </c>
      <c r="AD20" s="133">
        <f t="shared" si="39"/>
        <v>412125</v>
      </c>
      <c r="AE20" s="134">
        <f t="shared" si="40"/>
        <v>412125</v>
      </c>
      <c r="AF20" s="134">
        <f t="shared" si="32"/>
        <v>2472750</v>
      </c>
      <c r="AG20" s="135">
        <f>AF20/AH18</f>
        <v>9057.692308</v>
      </c>
      <c r="AH20" s="136">
        <f>AH18/AB20</f>
        <v>45.5</v>
      </c>
    </row>
    <row r="21" ht="14.25" customHeight="1">
      <c r="A21" s="109" t="s">
        <v>55</v>
      </c>
      <c r="B21" s="110">
        <f>B9+B11</f>
        <v>3840000</v>
      </c>
      <c r="D21" s="111">
        <v>1.0</v>
      </c>
      <c r="E21" s="112">
        <v>0.2</v>
      </c>
      <c r="F21" s="113">
        <f>H21</f>
        <v>3072000</v>
      </c>
      <c r="G21" s="113">
        <v>0.0</v>
      </c>
      <c r="H21" s="113">
        <f>B21-(B21*E21)</f>
        <v>3072000</v>
      </c>
      <c r="I21" s="115">
        <f>H21/J21</f>
        <v>9660.377358</v>
      </c>
      <c r="J21" s="116">
        <f>J9+J13</f>
        <v>318</v>
      </c>
      <c r="L21" s="152">
        <f>$D$21</f>
        <v>1</v>
      </c>
      <c r="M21" s="112">
        <f t="shared" si="1"/>
        <v>0.25</v>
      </c>
      <c r="N21" s="113">
        <f>P21</f>
        <v>2880000</v>
      </c>
      <c r="O21" s="113">
        <v>0.0</v>
      </c>
      <c r="P21" s="113">
        <f t="shared" ref="P21:P23" si="41">$B$21-($B$21*M21)</f>
        <v>2880000</v>
      </c>
      <c r="Q21" s="115">
        <f>P21/R21</f>
        <v>9056.603774</v>
      </c>
      <c r="R21" s="116">
        <f>J21</f>
        <v>318</v>
      </c>
      <c r="T21" s="152">
        <f>$D$21</f>
        <v>1</v>
      </c>
      <c r="U21" s="112">
        <f t="shared" si="3"/>
        <v>0.3</v>
      </c>
      <c r="V21" s="113">
        <f>X21</f>
        <v>2688000</v>
      </c>
      <c r="W21" s="113">
        <v>0.0</v>
      </c>
      <c r="X21" s="113">
        <f t="shared" ref="X21:X23" si="42">$B$21-($B$21*U21)</f>
        <v>2688000</v>
      </c>
      <c r="Y21" s="115">
        <f>X21/Z21</f>
        <v>8452.830189</v>
      </c>
      <c r="Z21" s="116">
        <f>R21</f>
        <v>318</v>
      </c>
      <c r="AB21" s="152">
        <f>$D$21</f>
        <v>1</v>
      </c>
      <c r="AC21" s="112">
        <f t="shared" si="5"/>
        <v>0.35</v>
      </c>
      <c r="AD21" s="113">
        <f>AF21</f>
        <v>2496000</v>
      </c>
      <c r="AE21" s="113">
        <v>0.0</v>
      </c>
      <c r="AF21" s="113">
        <f t="shared" ref="AF21:AF23" si="43">$B$21-($B$21*AC21)</f>
        <v>2496000</v>
      </c>
      <c r="AG21" s="115">
        <f>AF21/AH21</f>
        <v>7849.056604</v>
      </c>
      <c r="AH21" s="116">
        <f>Z21</f>
        <v>318</v>
      </c>
    </row>
    <row r="22" ht="14.25" customHeight="1">
      <c r="A22" s="129"/>
      <c r="B22" s="130"/>
      <c r="D22" s="131">
        <v>2.0</v>
      </c>
      <c r="E22" s="132">
        <v>0.15</v>
      </c>
      <c r="F22" s="133">
        <f t="shared" ref="F22:F23" si="44">H22/D22</f>
        <v>1632000</v>
      </c>
      <c r="G22" s="134">
        <f t="shared" ref="G22:G23" si="45">(H22-F22)/(D22-1)</f>
        <v>1632000</v>
      </c>
      <c r="H22" s="134">
        <f>B21-(B21*E22)</f>
        <v>3264000</v>
      </c>
      <c r="I22" s="135">
        <f>H22/J21</f>
        <v>10264.15094</v>
      </c>
      <c r="J22" s="136">
        <f>J21/D22</f>
        <v>159</v>
      </c>
      <c r="L22" s="137">
        <f>$D$22</f>
        <v>2</v>
      </c>
      <c r="M22" s="132">
        <f t="shared" si="1"/>
        <v>0.2</v>
      </c>
      <c r="N22" s="133">
        <f t="shared" ref="N22:N23" si="46">P22/L22</f>
        <v>1536000</v>
      </c>
      <c r="O22" s="134">
        <f t="shared" ref="O22:O23" si="47">(P22-N22)/(L22-1)</f>
        <v>1536000</v>
      </c>
      <c r="P22" s="134">
        <f t="shared" si="41"/>
        <v>3072000</v>
      </c>
      <c r="Q22" s="135">
        <f>P22/R21</f>
        <v>9660.377358</v>
      </c>
      <c r="R22" s="136">
        <f>R21/L22</f>
        <v>159</v>
      </c>
      <c r="T22" s="137">
        <f>$D$22</f>
        <v>2</v>
      </c>
      <c r="U22" s="132">
        <f t="shared" si="3"/>
        <v>0.25</v>
      </c>
      <c r="V22" s="133">
        <f t="shared" ref="V22:V23" si="48">X22/T22</f>
        <v>1440000</v>
      </c>
      <c r="W22" s="134">
        <f t="shared" ref="W22:W23" si="49">(X22-V22)/(T22-1)</f>
        <v>1440000</v>
      </c>
      <c r="X22" s="134">
        <f t="shared" si="42"/>
        <v>2880000</v>
      </c>
      <c r="Y22" s="135">
        <f>X22/Z21</f>
        <v>9056.603774</v>
      </c>
      <c r="Z22" s="136">
        <f>Z21/T22</f>
        <v>159</v>
      </c>
      <c r="AB22" s="137">
        <f>$D$22</f>
        <v>2</v>
      </c>
      <c r="AC22" s="132">
        <f t="shared" si="5"/>
        <v>0.3</v>
      </c>
      <c r="AD22" s="133">
        <f t="shared" ref="AD22:AD23" si="50">AF22/AB22</f>
        <v>1344000</v>
      </c>
      <c r="AE22" s="134">
        <f t="shared" ref="AE22:AE23" si="51">(AF22-AD22)/(AB22-1)</f>
        <v>1344000</v>
      </c>
      <c r="AF22" s="134">
        <f t="shared" si="43"/>
        <v>2688000</v>
      </c>
      <c r="AG22" s="135">
        <f>AF22/AH21</f>
        <v>8452.830189</v>
      </c>
      <c r="AH22" s="136">
        <f>AH21/AB22</f>
        <v>159</v>
      </c>
    </row>
    <row r="23" ht="14.25" customHeight="1">
      <c r="A23" s="145"/>
      <c r="B23" s="146"/>
      <c r="D23" s="131">
        <v>6.0</v>
      </c>
      <c r="E23" s="132">
        <v>0.1</v>
      </c>
      <c r="F23" s="133">
        <f t="shared" si="44"/>
        <v>576000</v>
      </c>
      <c r="G23" s="134">
        <f t="shared" si="45"/>
        <v>576000</v>
      </c>
      <c r="H23" s="134">
        <f>B21-(B21*E23)</f>
        <v>3456000</v>
      </c>
      <c r="I23" s="135">
        <f>H23/J21</f>
        <v>10867.92453</v>
      </c>
      <c r="J23" s="136">
        <f>J21/D23</f>
        <v>53</v>
      </c>
      <c r="L23" s="137">
        <f>$D$23</f>
        <v>6</v>
      </c>
      <c r="M23" s="132">
        <f t="shared" si="1"/>
        <v>0.15</v>
      </c>
      <c r="N23" s="133">
        <f t="shared" si="46"/>
        <v>544000</v>
      </c>
      <c r="O23" s="134">
        <f t="shared" si="47"/>
        <v>544000</v>
      </c>
      <c r="P23" s="134">
        <f t="shared" si="41"/>
        <v>3264000</v>
      </c>
      <c r="Q23" s="135">
        <f>P23/R21</f>
        <v>10264.15094</v>
      </c>
      <c r="R23" s="136">
        <f>R21/L23</f>
        <v>53</v>
      </c>
      <c r="T23" s="137">
        <f>$D$23</f>
        <v>6</v>
      </c>
      <c r="U23" s="132">
        <f t="shared" si="3"/>
        <v>0.2</v>
      </c>
      <c r="V23" s="133">
        <f t="shared" si="48"/>
        <v>512000</v>
      </c>
      <c r="W23" s="134">
        <f t="shared" si="49"/>
        <v>512000</v>
      </c>
      <c r="X23" s="134">
        <f t="shared" si="42"/>
        <v>3072000</v>
      </c>
      <c r="Y23" s="135">
        <f>X23/Z21</f>
        <v>9660.377358</v>
      </c>
      <c r="Z23" s="136">
        <f>Z21/T23</f>
        <v>53</v>
      </c>
      <c r="AB23" s="137">
        <f>$D$23</f>
        <v>6</v>
      </c>
      <c r="AC23" s="132">
        <f t="shared" si="5"/>
        <v>0.25</v>
      </c>
      <c r="AD23" s="133">
        <f t="shared" si="50"/>
        <v>480000</v>
      </c>
      <c r="AE23" s="134">
        <f t="shared" si="51"/>
        <v>480000</v>
      </c>
      <c r="AF23" s="134">
        <f t="shared" si="43"/>
        <v>2880000</v>
      </c>
      <c r="AG23" s="135">
        <f>AF23/AH21</f>
        <v>9056.603774</v>
      </c>
      <c r="AH23" s="136">
        <f>AH21/AB23</f>
        <v>53</v>
      </c>
    </row>
    <row r="24" ht="14.25" customHeight="1">
      <c r="A24" s="109" t="s">
        <v>57</v>
      </c>
      <c r="B24" s="110">
        <f>B11+B13</f>
        <v>3840000</v>
      </c>
      <c r="D24" s="111">
        <v>1.0</v>
      </c>
      <c r="E24" s="112">
        <v>0.2</v>
      </c>
      <c r="F24" s="113">
        <f>H24</f>
        <v>3072000</v>
      </c>
      <c r="G24" s="113">
        <v>0.0</v>
      </c>
      <c r="H24" s="113">
        <f>B24-(B24*E24)</f>
        <v>3072000</v>
      </c>
      <c r="I24" s="115">
        <f>H24/J24</f>
        <v>9660.377358</v>
      </c>
      <c r="J24" s="116">
        <f>J13+J13</f>
        <v>318</v>
      </c>
      <c r="L24" s="152">
        <f>$D$24</f>
        <v>1</v>
      </c>
      <c r="M24" s="112">
        <f t="shared" si="1"/>
        <v>0.25</v>
      </c>
      <c r="N24" s="113">
        <f>P24</f>
        <v>2880000</v>
      </c>
      <c r="O24" s="113">
        <v>0.0</v>
      </c>
      <c r="P24" s="113">
        <f t="shared" ref="P24:P26" si="52">$B$24-($B$24*M24)</f>
        <v>2880000</v>
      </c>
      <c r="Q24" s="115">
        <f>P24/R24</f>
        <v>9056.603774</v>
      </c>
      <c r="R24" s="116">
        <f>J24</f>
        <v>318</v>
      </c>
      <c r="T24" s="152">
        <f>$D$24</f>
        <v>1</v>
      </c>
      <c r="U24" s="112">
        <f t="shared" si="3"/>
        <v>0.3</v>
      </c>
      <c r="V24" s="113">
        <f>X24</f>
        <v>2688000</v>
      </c>
      <c r="W24" s="113">
        <v>0.0</v>
      </c>
      <c r="X24" s="113">
        <f t="shared" ref="X24:X26" si="53">$B$24-($B$24*U24)</f>
        <v>2688000</v>
      </c>
      <c r="Y24" s="115">
        <f>X24/Z24</f>
        <v>8452.830189</v>
      </c>
      <c r="Z24" s="116">
        <f>R24</f>
        <v>318</v>
      </c>
      <c r="AB24" s="152">
        <f>$D$24</f>
        <v>1</v>
      </c>
      <c r="AC24" s="112">
        <f t="shared" si="5"/>
        <v>0.35</v>
      </c>
      <c r="AD24" s="113">
        <f>AF24</f>
        <v>2496000</v>
      </c>
      <c r="AE24" s="113">
        <v>0.0</v>
      </c>
      <c r="AF24" s="113">
        <f t="shared" ref="AF24:AF26" si="54">$B$24-($B$24*AC24)</f>
        <v>2496000</v>
      </c>
      <c r="AG24" s="115">
        <f>AF24/AH24</f>
        <v>7849.056604</v>
      </c>
      <c r="AH24" s="116">
        <f>Z24</f>
        <v>318</v>
      </c>
    </row>
    <row r="25" ht="14.25" customHeight="1">
      <c r="A25" s="129"/>
      <c r="B25" s="130"/>
      <c r="D25" s="131">
        <v>2.0</v>
      </c>
      <c r="E25" s="132">
        <v>0.15</v>
      </c>
      <c r="F25" s="133">
        <f t="shared" ref="F25:F26" si="55">H25/D25</f>
        <v>1632000</v>
      </c>
      <c r="G25" s="134">
        <f t="shared" ref="G25:G26" si="56">(H25-F25)/(D25-1)</f>
        <v>1632000</v>
      </c>
      <c r="H25" s="134">
        <f>B24-(B24*E25)</f>
        <v>3264000</v>
      </c>
      <c r="I25" s="135">
        <f>H25/J24</f>
        <v>10264.15094</v>
      </c>
      <c r="J25" s="136">
        <f>J24/D25</f>
        <v>159</v>
      </c>
      <c r="L25" s="137">
        <f>$D$25</f>
        <v>2</v>
      </c>
      <c r="M25" s="132">
        <f t="shared" si="1"/>
        <v>0.2</v>
      </c>
      <c r="N25" s="133">
        <f t="shared" ref="N25:N26" si="57">P25/L25</f>
        <v>1536000</v>
      </c>
      <c r="O25" s="134">
        <f t="shared" ref="O25:O26" si="58">(P25-N25)/(L25-1)</f>
        <v>1536000</v>
      </c>
      <c r="P25" s="134">
        <f t="shared" si="52"/>
        <v>3072000</v>
      </c>
      <c r="Q25" s="135">
        <f>P25/R24</f>
        <v>9660.377358</v>
      </c>
      <c r="R25" s="136">
        <f>R24/L25</f>
        <v>159</v>
      </c>
      <c r="T25" s="137">
        <f>$D$25</f>
        <v>2</v>
      </c>
      <c r="U25" s="132">
        <f t="shared" si="3"/>
        <v>0.25</v>
      </c>
      <c r="V25" s="133">
        <f t="shared" ref="V25:V26" si="59">X25/T25</f>
        <v>1440000</v>
      </c>
      <c r="W25" s="134">
        <f t="shared" ref="W25:W26" si="60">(X25-V25)/(T25-1)</f>
        <v>1440000</v>
      </c>
      <c r="X25" s="134">
        <f t="shared" si="53"/>
        <v>2880000</v>
      </c>
      <c r="Y25" s="135">
        <f>X25/Z24</f>
        <v>9056.603774</v>
      </c>
      <c r="Z25" s="136">
        <f>Z24/T25</f>
        <v>159</v>
      </c>
      <c r="AB25" s="137">
        <f>$D$25</f>
        <v>2</v>
      </c>
      <c r="AC25" s="132">
        <f t="shared" si="5"/>
        <v>0.3</v>
      </c>
      <c r="AD25" s="133">
        <f t="shared" ref="AD25:AD26" si="61">AF25/AB25</f>
        <v>1344000</v>
      </c>
      <c r="AE25" s="134">
        <f t="shared" ref="AE25:AE26" si="62">(AF25-AD25)/(AB25-1)</f>
        <v>1344000</v>
      </c>
      <c r="AF25" s="134">
        <f t="shared" si="54"/>
        <v>2688000</v>
      </c>
      <c r="AG25" s="135">
        <f>AF25/AH24</f>
        <v>8452.830189</v>
      </c>
      <c r="AH25" s="136">
        <f>AH24/AB25</f>
        <v>159</v>
      </c>
    </row>
    <row r="26" ht="14.25" customHeight="1">
      <c r="A26" s="145"/>
      <c r="B26" s="146"/>
      <c r="D26" s="131">
        <v>6.0</v>
      </c>
      <c r="E26" s="132">
        <v>0.1</v>
      </c>
      <c r="F26" s="133">
        <f t="shared" si="55"/>
        <v>576000</v>
      </c>
      <c r="G26" s="134">
        <f t="shared" si="56"/>
        <v>576000</v>
      </c>
      <c r="H26" s="134">
        <f>B24-(B24*E26)</f>
        <v>3456000</v>
      </c>
      <c r="I26" s="135">
        <f>H26/J24</f>
        <v>10867.92453</v>
      </c>
      <c r="J26" s="136">
        <f>J24/D26</f>
        <v>53</v>
      </c>
      <c r="L26" s="137">
        <f>$D$26</f>
        <v>6</v>
      </c>
      <c r="M26" s="132">
        <f t="shared" si="1"/>
        <v>0.15</v>
      </c>
      <c r="N26" s="133">
        <f t="shared" si="57"/>
        <v>544000</v>
      </c>
      <c r="O26" s="134">
        <f t="shared" si="58"/>
        <v>544000</v>
      </c>
      <c r="P26" s="134">
        <f t="shared" si="52"/>
        <v>3264000</v>
      </c>
      <c r="Q26" s="135">
        <f>P26/R24</f>
        <v>10264.15094</v>
      </c>
      <c r="R26" s="136">
        <f>R24/L26</f>
        <v>53</v>
      </c>
      <c r="T26" s="137">
        <f>$D$26</f>
        <v>6</v>
      </c>
      <c r="U26" s="132">
        <f t="shared" si="3"/>
        <v>0.2</v>
      </c>
      <c r="V26" s="133">
        <f t="shared" si="59"/>
        <v>512000</v>
      </c>
      <c r="W26" s="134">
        <f t="shared" si="60"/>
        <v>512000</v>
      </c>
      <c r="X26" s="134">
        <f t="shared" si="53"/>
        <v>3072000</v>
      </c>
      <c r="Y26" s="135">
        <f>X26/Z24</f>
        <v>9660.377358</v>
      </c>
      <c r="Z26" s="136">
        <f>Z24/T26</f>
        <v>53</v>
      </c>
      <c r="AB26" s="137">
        <f>$D$26</f>
        <v>6</v>
      </c>
      <c r="AC26" s="132">
        <f t="shared" si="5"/>
        <v>0.25</v>
      </c>
      <c r="AD26" s="133">
        <f t="shared" si="61"/>
        <v>480000</v>
      </c>
      <c r="AE26" s="134">
        <f t="shared" si="62"/>
        <v>480000</v>
      </c>
      <c r="AF26" s="134">
        <f t="shared" si="54"/>
        <v>2880000</v>
      </c>
      <c r="AG26" s="135">
        <f>AF26/AH24</f>
        <v>9056.603774</v>
      </c>
      <c r="AH26" s="136">
        <f>AH24/AB26</f>
        <v>53</v>
      </c>
    </row>
    <row r="27" ht="14.25" customHeight="1">
      <c r="A27" s="138" t="s">
        <v>62</v>
      </c>
      <c r="B27" s="139">
        <f>B5+B7+B9</f>
        <v>4384000</v>
      </c>
      <c r="D27" s="140">
        <v>1.0</v>
      </c>
      <c r="E27" s="141">
        <v>0.3</v>
      </c>
      <c r="F27" s="142">
        <f>H27</f>
        <v>3068800</v>
      </c>
      <c r="G27" s="142">
        <v>0.0</v>
      </c>
      <c r="H27" s="142">
        <f>B27-(B27*E27)</f>
        <v>3068800</v>
      </c>
      <c r="I27" s="143">
        <f>H27/J27</f>
        <v>8453.99449</v>
      </c>
      <c r="J27" s="144">
        <f>J5+J7+J9</f>
        <v>363</v>
      </c>
      <c r="L27" s="187">
        <f>$D$27</f>
        <v>1</v>
      </c>
      <c r="M27" s="141">
        <f t="shared" si="1"/>
        <v>0.35</v>
      </c>
      <c r="N27" s="142">
        <f>P27</f>
        <v>2849600</v>
      </c>
      <c r="O27" s="142">
        <v>0.0</v>
      </c>
      <c r="P27" s="142">
        <f t="shared" ref="P27:P29" si="63">$B$27-($B$27*M27)</f>
        <v>2849600</v>
      </c>
      <c r="Q27" s="143">
        <f>P27/R27</f>
        <v>7850.137741</v>
      </c>
      <c r="R27" s="144">
        <f>J27</f>
        <v>363</v>
      </c>
      <c r="T27" s="187">
        <f>$D$27</f>
        <v>1</v>
      </c>
      <c r="U27" s="141">
        <f t="shared" si="3"/>
        <v>0.4</v>
      </c>
      <c r="V27" s="142">
        <f>X27</f>
        <v>2630400</v>
      </c>
      <c r="W27" s="142">
        <v>0.0</v>
      </c>
      <c r="X27" s="142">
        <f t="shared" ref="X27:X29" si="64">$B$27-($B$27*U27)</f>
        <v>2630400</v>
      </c>
      <c r="Y27" s="143">
        <f>X27/Z27</f>
        <v>7246.280992</v>
      </c>
      <c r="Z27" s="144">
        <f>R27</f>
        <v>363</v>
      </c>
      <c r="AB27" s="187">
        <f>$D$27</f>
        <v>1</v>
      </c>
      <c r="AC27" s="141">
        <f t="shared" si="5"/>
        <v>0.45</v>
      </c>
      <c r="AD27" s="142">
        <f>AF27</f>
        <v>2411200</v>
      </c>
      <c r="AE27" s="142">
        <v>0.0</v>
      </c>
      <c r="AF27" s="142">
        <f t="shared" ref="AF27:AF29" si="65">$B$27-($B$27*AC27)</f>
        <v>2411200</v>
      </c>
      <c r="AG27" s="143">
        <f>AF27/AH27</f>
        <v>6642.424242</v>
      </c>
      <c r="AH27" s="144">
        <f>Z27</f>
        <v>363</v>
      </c>
    </row>
    <row r="28" ht="14.25" customHeight="1">
      <c r="A28" s="129"/>
      <c r="B28" s="130"/>
      <c r="D28" s="189">
        <v>3.0</v>
      </c>
      <c r="E28" s="190">
        <v>0.25</v>
      </c>
      <c r="F28" s="193">
        <f t="shared" ref="F28:F29" si="66">H28/D28</f>
        <v>1096000</v>
      </c>
      <c r="G28" s="195">
        <f t="shared" ref="G28:G29" si="67">(H28-F28)/(D28-1)</f>
        <v>1096000</v>
      </c>
      <c r="H28" s="195">
        <f>B27-(B27*E28)</f>
        <v>3288000</v>
      </c>
      <c r="I28" s="198">
        <f>H28/J27</f>
        <v>9057.85124</v>
      </c>
      <c r="J28" s="199">
        <f>J27/D28</f>
        <v>121</v>
      </c>
      <c r="L28" s="201">
        <f>$D$28</f>
        <v>3</v>
      </c>
      <c r="M28" s="190">
        <f t="shared" si="1"/>
        <v>0.3</v>
      </c>
      <c r="N28" s="193">
        <f t="shared" ref="N28:N29" si="68">P28/L28</f>
        <v>1022933.333</v>
      </c>
      <c r="O28" s="195">
        <f t="shared" ref="O28:O29" si="69">(P28-N28)/(L28-1)</f>
        <v>1022933.333</v>
      </c>
      <c r="P28" s="195">
        <f t="shared" si="63"/>
        <v>3068800</v>
      </c>
      <c r="Q28" s="198">
        <f>P28/R27</f>
        <v>8453.99449</v>
      </c>
      <c r="R28" s="199">
        <f>R27/L28</f>
        <v>121</v>
      </c>
      <c r="T28" s="201">
        <f>$D$28</f>
        <v>3</v>
      </c>
      <c r="U28" s="190">
        <f t="shared" si="3"/>
        <v>0.35</v>
      </c>
      <c r="V28" s="193">
        <f t="shared" ref="V28:V29" si="70">X28/T28</f>
        <v>949866.6667</v>
      </c>
      <c r="W28" s="195">
        <f t="shared" ref="W28:W29" si="71">(X28-V28)/(T28-1)</f>
        <v>949866.6667</v>
      </c>
      <c r="X28" s="195">
        <f t="shared" si="64"/>
        <v>2849600</v>
      </c>
      <c r="Y28" s="198">
        <f>X28/Z27</f>
        <v>7850.137741</v>
      </c>
      <c r="Z28" s="199">
        <f>Z27/T28</f>
        <v>121</v>
      </c>
      <c r="AB28" s="201">
        <f>$D$28</f>
        <v>3</v>
      </c>
      <c r="AC28" s="190">
        <f t="shared" si="5"/>
        <v>0.4</v>
      </c>
      <c r="AD28" s="193">
        <f t="shared" ref="AD28:AD29" si="72">AF28/AB28</f>
        <v>876800</v>
      </c>
      <c r="AE28" s="195">
        <f t="shared" ref="AE28:AE29" si="73">(AF28-AD28)/(AB28-1)</f>
        <v>876800</v>
      </c>
      <c r="AF28" s="195">
        <f t="shared" si="65"/>
        <v>2630400</v>
      </c>
      <c r="AG28" s="198">
        <f>AF28/AH27</f>
        <v>7246.280992</v>
      </c>
      <c r="AH28" s="199">
        <f>AH27/AB28</f>
        <v>121</v>
      </c>
    </row>
    <row r="29" ht="14.25" customHeight="1">
      <c r="A29" s="145"/>
      <c r="B29" s="146"/>
      <c r="D29" s="189">
        <v>10.0</v>
      </c>
      <c r="E29" s="190">
        <v>0.2</v>
      </c>
      <c r="F29" s="193">
        <f t="shared" si="66"/>
        <v>350720</v>
      </c>
      <c r="G29" s="195">
        <f t="shared" si="67"/>
        <v>350720</v>
      </c>
      <c r="H29" s="195">
        <f>B27-(B27*E29)</f>
        <v>3507200</v>
      </c>
      <c r="I29" s="198">
        <f>H29/J27</f>
        <v>9661.707989</v>
      </c>
      <c r="J29" s="199">
        <f>J27/D29</f>
        <v>36.3</v>
      </c>
      <c r="L29" s="201">
        <f>$D$29</f>
        <v>10</v>
      </c>
      <c r="M29" s="190">
        <f t="shared" si="1"/>
        <v>0.25</v>
      </c>
      <c r="N29" s="193">
        <f t="shared" si="68"/>
        <v>328800</v>
      </c>
      <c r="O29" s="195">
        <f t="shared" si="69"/>
        <v>328800</v>
      </c>
      <c r="P29" s="195">
        <f t="shared" si="63"/>
        <v>3288000</v>
      </c>
      <c r="Q29" s="198">
        <f>P29/R27</f>
        <v>9057.85124</v>
      </c>
      <c r="R29" s="199">
        <f>R27/L29</f>
        <v>36.3</v>
      </c>
      <c r="T29" s="201">
        <f>$D$29</f>
        <v>10</v>
      </c>
      <c r="U29" s="190">
        <f t="shared" si="3"/>
        <v>0.3</v>
      </c>
      <c r="V29" s="193">
        <f t="shared" si="70"/>
        <v>306880</v>
      </c>
      <c r="W29" s="195">
        <f t="shared" si="71"/>
        <v>306880</v>
      </c>
      <c r="X29" s="195">
        <f t="shared" si="64"/>
        <v>3068800</v>
      </c>
      <c r="Y29" s="198">
        <f>X29/Z27</f>
        <v>8453.99449</v>
      </c>
      <c r="Z29" s="199">
        <f>Z27/T29</f>
        <v>36.3</v>
      </c>
      <c r="AB29" s="201">
        <f>$D$29</f>
        <v>10</v>
      </c>
      <c r="AC29" s="190">
        <f t="shared" si="5"/>
        <v>0.35</v>
      </c>
      <c r="AD29" s="193">
        <f t="shared" si="72"/>
        <v>284960</v>
      </c>
      <c r="AE29" s="195">
        <f t="shared" si="73"/>
        <v>284960</v>
      </c>
      <c r="AF29" s="195">
        <f t="shared" si="65"/>
        <v>2849600</v>
      </c>
      <c r="AG29" s="198">
        <f>AF29/AH27</f>
        <v>7850.137741</v>
      </c>
      <c r="AH29" s="199">
        <f>AH27/AB29</f>
        <v>36.3</v>
      </c>
    </row>
    <row r="30" ht="14.25" customHeight="1">
      <c r="A30" s="138" t="s">
        <v>68</v>
      </c>
      <c r="B30" s="139">
        <f>B7+B9+B11</f>
        <v>5217000</v>
      </c>
      <c r="D30" s="140">
        <v>1.0</v>
      </c>
      <c r="E30" s="141">
        <v>0.3</v>
      </c>
      <c r="F30" s="142">
        <f>H30</f>
        <v>3651900</v>
      </c>
      <c r="G30" s="142">
        <v>0.0</v>
      </c>
      <c r="H30" s="142">
        <f>B30-(B30*E30)</f>
        <v>3651900</v>
      </c>
      <c r="I30" s="143">
        <f>H30/J30</f>
        <v>8453.472222</v>
      </c>
      <c r="J30" s="144">
        <f>J7+J9+J13</f>
        <v>432</v>
      </c>
      <c r="L30" s="187">
        <f>$D$30</f>
        <v>1</v>
      </c>
      <c r="M30" s="141">
        <f t="shared" si="1"/>
        <v>0.35</v>
      </c>
      <c r="N30" s="142">
        <f>P30</f>
        <v>3391050</v>
      </c>
      <c r="O30" s="142">
        <v>0.0</v>
      </c>
      <c r="P30" s="142">
        <f t="shared" ref="P30:P32" si="74">$B$30-($B$30*M30)</f>
        <v>3391050</v>
      </c>
      <c r="Q30" s="143">
        <f>P30/R30</f>
        <v>7849.652778</v>
      </c>
      <c r="R30" s="144">
        <f>J30</f>
        <v>432</v>
      </c>
      <c r="T30" s="187">
        <f>$D$30</f>
        <v>1</v>
      </c>
      <c r="U30" s="141">
        <f t="shared" si="3"/>
        <v>0.4</v>
      </c>
      <c r="V30" s="142">
        <f>X30</f>
        <v>3130200</v>
      </c>
      <c r="W30" s="142">
        <v>0.0</v>
      </c>
      <c r="X30" s="142">
        <f t="shared" ref="X30:X32" si="75">$B$30-($B$30*U30)</f>
        <v>3130200</v>
      </c>
      <c r="Y30" s="143">
        <f>X30/Z30</f>
        <v>7245.833333</v>
      </c>
      <c r="Z30" s="144">
        <f>R30</f>
        <v>432</v>
      </c>
      <c r="AB30" s="187">
        <f>$D$30</f>
        <v>1</v>
      </c>
      <c r="AC30" s="141">
        <f t="shared" si="5"/>
        <v>0.45</v>
      </c>
      <c r="AD30" s="142">
        <f>AF30</f>
        <v>2869350</v>
      </c>
      <c r="AE30" s="142">
        <v>0.0</v>
      </c>
      <c r="AF30" s="142">
        <f t="shared" ref="AF30:AF32" si="76">$B$30-($B$30*AC30)</f>
        <v>2869350</v>
      </c>
      <c r="AG30" s="143">
        <f>AF30/AH30</f>
        <v>6642.013889</v>
      </c>
      <c r="AH30" s="144">
        <f>Z30</f>
        <v>432</v>
      </c>
    </row>
    <row r="31" ht="14.25" customHeight="1">
      <c r="A31" s="129"/>
      <c r="B31" s="130"/>
      <c r="D31" s="189">
        <v>3.0</v>
      </c>
      <c r="E31" s="190">
        <v>0.25</v>
      </c>
      <c r="F31" s="193">
        <f t="shared" ref="F31:F32" si="77">H31/D31</f>
        <v>1304250</v>
      </c>
      <c r="G31" s="195">
        <f t="shared" ref="G31:G32" si="78">(H31-F31)/(D31-1)</f>
        <v>1304250</v>
      </c>
      <c r="H31" s="195">
        <f>B30-(B30*E31)</f>
        <v>3912750</v>
      </c>
      <c r="I31" s="198">
        <f>H31/J30</f>
        <v>9057.291667</v>
      </c>
      <c r="J31" s="199">
        <f>J30/D31</f>
        <v>144</v>
      </c>
      <c r="L31" s="201">
        <f>$D$31</f>
        <v>3</v>
      </c>
      <c r="M31" s="190">
        <f t="shared" si="1"/>
        <v>0.3</v>
      </c>
      <c r="N31" s="193">
        <f t="shared" ref="N31:N32" si="79">P31/L31</f>
        <v>1217300</v>
      </c>
      <c r="O31" s="195">
        <f t="shared" ref="O31:O32" si="80">(P31-N31)/(L31-1)</f>
        <v>1217300</v>
      </c>
      <c r="P31" s="195">
        <f t="shared" si="74"/>
        <v>3651900</v>
      </c>
      <c r="Q31" s="198">
        <f>P31/R30</f>
        <v>8453.472222</v>
      </c>
      <c r="R31" s="199">
        <f>R30/L31</f>
        <v>144</v>
      </c>
      <c r="T31" s="201">
        <f>$D$31</f>
        <v>3</v>
      </c>
      <c r="U31" s="190">
        <f t="shared" si="3"/>
        <v>0.35</v>
      </c>
      <c r="V31" s="193">
        <f t="shared" ref="V31:V32" si="81">X31/T31</f>
        <v>1130350</v>
      </c>
      <c r="W31" s="195">
        <f t="shared" ref="W31:W32" si="82">(X31-V31)/(T31-1)</f>
        <v>1130350</v>
      </c>
      <c r="X31" s="195">
        <f t="shared" si="75"/>
        <v>3391050</v>
      </c>
      <c r="Y31" s="198">
        <f>X31/Z30</f>
        <v>7849.652778</v>
      </c>
      <c r="Z31" s="199">
        <f>Z30/T31</f>
        <v>144</v>
      </c>
      <c r="AB31" s="201">
        <f>$D$31</f>
        <v>3</v>
      </c>
      <c r="AC31" s="190">
        <f t="shared" si="5"/>
        <v>0.4</v>
      </c>
      <c r="AD31" s="193">
        <f t="shared" ref="AD31:AD32" si="83">AF31/AB31</f>
        <v>1043400</v>
      </c>
      <c r="AE31" s="195">
        <f t="shared" ref="AE31:AE32" si="84">(AF31-AD31)/(AB31-1)</f>
        <v>1043400</v>
      </c>
      <c r="AF31" s="195">
        <f t="shared" si="76"/>
        <v>3130200</v>
      </c>
      <c r="AG31" s="198">
        <f>AF31/AH30</f>
        <v>7245.833333</v>
      </c>
      <c r="AH31" s="199">
        <f>AH30/AB31</f>
        <v>144</v>
      </c>
    </row>
    <row r="32" ht="14.25" customHeight="1">
      <c r="A32" s="145"/>
      <c r="B32" s="146"/>
      <c r="D32" s="189">
        <v>10.0</v>
      </c>
      <c r="E32" s="190">
        <v>0.2</v>
      </c>
      <c r="F32" s="193">
        <f t="shared" si="77"/>
        <v>417360</v>
      </c>
      <c r="G32" s="195">
        <f t="shared" si="78"/>
        <v>417360</v>
      </c>
      <c r="H32" s="195">
        <f>B30-(B30*E32)</f>
        <v>4173600</v>
      </c>
      <c r="I32" s="198">
        <f>H32/J30</f>
        <v>9661.111111</v>
      </c>
      <c r="J32" s="199">
        <f>J30/D32</f>
        <v>43.2</v>
      </c>
      <c r="L32" s="201">
        <f>$D$32</f>
        <v>10</v>
      </c>
      <c r="M32" s="190">
        <f t="shared" si="1"/>
        <v>0.25</v>
      </c>
      <c r="N32" s="193">
        <f t="shared" si="79"/>
        <v>391275</v>
      </c>
      <c r="O32" s="195">
        <f t="shared" si="80"/>
        <v>391275</v>
      </c>
      <c r="P32" s="195">
        <f t="shared" si="74"/>
        <v>3912750</v>
      </c>
      <c r="Q32" s="198">
        <f>P32/R30</f>
        <v>9057.291667</v>
      </c>
      <c r="R32" s="199">
        <f>R30/L32</f>
        <v>43.2</v>
      </c>
      <c r="T32" s="201">
        <f>$D$32</f>
        <v>10</v>
      </c>
      <c r="U32" s="190">
        <f t="shared" si="3"/>
        <v>0.3</v>
      </c>
      <c r="V32" s="193">
        <f t="shared" si="81"/>
        <v>365190</v>
      </c>
      <c r="W32" s="195">
        <f t="shared" si="82"/>
        <v>365190</v>
      </c>
      <c r="X32" s="195">
        <f t="shared" si="75"/>
        <v>3651900</v>
      </c>
      <c r="Y32" s="198">
        <f>X32/Z30</f>
        <v>8453.472222</v>
      </c>
      <c r="Z32" s="199">
        <f>Z30/T32</f>
        <v>43.2</v>
      </c>
      <c r="AB32" s="201">
        <f>$D$32</f>
        <v>10</v>
      </c>
      <c r="AC32" s="190">
        <f t="shared" si="5"/>
        <v>0.35</v>
      </c>
      <c r="AD32" s="193">
        <f t="shared" si="83"/>
        <v>339105</v>
      </c>
      <c r="AE32" s="195">
        <f t="shared" si="84"/>
        <v>339105</v>
      </c>
      <c r="AF32" s="195">
        <f t="shared" si="76"/>
        <v>3391050</v>
      </c>
      <c r="AG32" s="198">
        <f>AF32/AH30</f>
        <v>7849.652778</v>
      </c>
      <c r="AH32" s="199">
        <f>AH30/AB32</f>
        <v>43.2</v>
      </c>
    </row>
    <row r="33" ht="14.25" customHeight="1">
      <c r="A33" s="138" t="s">
        <v>70</v>
      </c>
      <c r="B33" s="139">
        <f>B9+B11+B13</f>
        <v>5760000</v>
      </c>
      <c r="D33" s="140">
        <v>1.0</v>
      </c>
      <c r="E33" s="141">
        <v>0.3</v>
      </c>
      <c r="F33" s="142">
        <f>H33</f>
        <v>4032000</v>
      </c>
      <c r="G33" s="142">
        <v>0.0</v>
      </c>
      <c r="H33" s="142">
        <f>B33-(B33*E33)</f>
        <v>4032000</v>
      </c>
      <c r="I33" s="143">
        <f>H33/J33</f>
        <v>8452.830189</v>
      </c>
      <c r="J33" s="144">
        <f>J9+J13+J13</f>
        <v>477</v>
      </c>
      <c r="L33" s="187">
        <f>$D$33</f>
        <v>1</v>
      </c>
      <c r="M33" s="141">
        <f t="shared" si="1"/>
        <v>0.35</v>
      </c>
      <c r="N33" s="142">
        <f>P33</f>
        <v>3744000</v>
      </c>
      <c r="O33" s="142">
        <v>0.0</v>
      </c>
      <c r="P33" s="142">
        <f t="shared" ref="P33:P35" si="85">$B$33-($B$33*M33)</f>
        <v>3744000</v>
      </c>
      <c r="Q33" s="143">
        <f>P33/R33</f>
        <v>7849.056604</v>
      </c>
      <c r="R33" s="144">
        <f>J33</f>
        <v>477</v>
      </c>
      <c r="T33" s="187">
        <f>$D$33</f>
        <v>1</v>
      </c>
      <c r="U33" s="141">
        <f t="shared" si="3"/>
        <v>0.4</v>
      </c>
      <c r="V33" s="142">
        <f>X33</f>
        <v>3456000</v>
      </c>
      <c r="W33" s="142">
        <v>0.0</v>
      </c>
      <c r="X33" s="142">
        <f t="shared" ref="X33:X35" si="86">$B$33-($B$33*U33)</f>
        <v>3456000</v>
      </c>
      <c r="Y33" s="143">
        <f>X33/Z33</f>
        <v>7245.283019</v>
      </c>
      <c r="Z33" s="144">
        <f>R33</f>
        <v>477</v>
      </c>
      <c r="AB33" s="187">
        <f>$D$33</f>
        <v>1</v>
      </c>
      <c r="AC33" s="141">
        <f t="shared" si="5"/>
        <v>0.45</v>
      </c>
      <c r="AD33" s="142">
        <f>AF33</f>
        <v>3168000</v>
      </c>
      <c r="AE33" s="142">
        <v>0.0</v>
      </c>
      <c r="AF33" s="142">
        <f t="shared" ref="AF33:AF35" si="87">$B$33-($B$33*AC33)</f>
        <v>3168000</v>
      </c>
      <c r="AG33" s="143">
        <f>AF33/AH33</f>
        <v>6641.509434</v>
      </c>
      <c r="AH33" s="144">
        <f>Z33</f>
        <v>477</v>
      </c>
    </row>
    <row r="34" ht="14.25" customHeight="1">
      <c r="A34" s="129"/>
      <c r="B34" s="130"/>
      <c r="D34" s="189">
        <v>3.0</v>
      </c>
      <c r="E34" s="190">
        <v>0.25</v>
      </c>
      <c r="F34" s="193">
        <f t="shared" ref="F34:F35" si="88">H34/D34</f>
        <v>1440000</v>
      </c>
      <c r="G34" s="195">
        <f t="shared" ref="G34:G35" si="89">(H34-F34)/(D34-1)</f>
        <v>1440000</v>
      </c>
      <c r="H34" s="195">
        <f>B33-(B33*E34)</f>
        <v>4320000</v>
      </c>
      <c r="I34" s="198">
        <f>H34/J33</f>
        <v>9056.603774</v>
      </c>
      <c r="J34" s="199">
        <f>J33/D34</f>
        <v>159</v>
      </c>
      <c r="L34" s="201">
        <f>$D$34</f>
        <v>3</v>
      </c>
      <c r="M34" s="190">
        <f t="shared" si="1"/>
        <v>0.3</v>
      </c>
      <c r="N34" s="193">
        <f t="shared" ref="N34:N35" si="90">P34/L34</f>
        <v>1344000</v>
      </c>
      <c r="O34" s="195">
        <f t="shared" ref="O34:O35" si="91">(P34-N34)/(L34-1)</f>
        <v>1344000</v>
      </c>
      <c r="P34" s="195">
        <f t="shared" si="85"/>
        <v>4032000</v>
      </c>
      <c r="Q34" s="198">
        <f>P34/R33</f>
        <v>8452.830189</v>
      </c>
      <c r="R34" s="199">
        <f>R33/L34</f>
        <v>159</v>
      </c>
      <c r="T34" s="201">
        <f>$D$34</f>
        <v>3</v>
      </c>
      <c r="U34" s="190">
        <f t="shared" si="3"/>
        <v>0.35</v>
      </c>
      <c r="V34" s="193">
        <f t="shared" ref="V34:V35" si="92">X34/T34</f>
        <v>1248000</v>
      </c>
      <c r="W34" s="195">
        <f t="shared" ref="W34:W35" si="93">(X34-V34)/(T34-1)</f>
        <v>1248000</v>
      </c>
      <c r="X34" s="195">
        <f t="shared" si="86"/>
        <v>3744000</v>
      </c>
      <c r="Y34" s="198">
        <f>X34/Z33</f>
        <v>7849.056604</v>
      </c>
      <c r="Z34" s="199">
        <f>Z33/T34</f>
        <v>159</v>
      </c>
      <c r="AB34" s="201">
        <f>$D$34</f>
        <v>3</v>
      </c>
      <c r="AC34" s="190">
        <f t="shared" si="5"/>
        <v>0.4</v>
      </c>
      <c r="AD34" s="193">
        <f t="shared" ref="AD34:AD35" si="94">AF34/AB34</f>
        <v>1152000</v>
      </c>
      <c r="AE34" s="195">
        <f t="shared" ref="AE34:AE35" si="95">(AF34-AD34)/(AB34-1)</f>
        <v>1152000</v>
      </c>
      <c r="AF34" s="195">
        <f t="shared" si="87"/>
        <v>3456000</v>
      </c>
      <c r="AG34" s="198">
        <f>AF34/AH33</f>
        <v>7245.283019</v>
      </c>
      <c r="AH34" s="199">
        <f>AH33/AB34</f>
        <v>159</v>
      </c>
    </row>
    <row r="35" ht="14.25" customHeight="1">
      <c r="A35" s="145"/>
      <c r="B35" s="146"/>
      <c r="D35" s="189">
        <v>10.0</v>
      </c>
      <c r="E35" s="190">
        <v>0.2</v>
      </c>
      <c r="F35" s="193">
        <f t="shared" si="88"/>
        <v>460800</v>
      </c>
      <c r="G35" s="195">
        <f t="shared" si="89"/>
        <v>460800</v>
      </c>
      <c r="H35" s="195">
        <f>B33-(B33*E35)</f>
        <v>4608000</v>
      </c>
      <c r="I35" s="198">
        <f>H35/J33</f>
        <v>9660.377358</v>
      </c>
      <c r="J35" s="199">
        <f>J33/D35</f>
        <v>47.7</v>
      </c>
      <c r="L35" s="201">
        <f>$D$35</f>
        <v>10</v>
      </c>
      <c r="M35" s="190">
        <f t="shared" si="1"/>
        <v>0.25</v>
      </c>
      <c r="N35" s="193">
        <f t="shared" si="90"/>
        <v>432000</v>
      </c>
      <c r="O35" s="195">
        <f t="shared" si="91"/>
        <v>432000</v>
      </c>
      <c r="P35" s="195">
        <f t="shared" si="85"/>
        <v>4320000</v>
      </c>
      <c r="Q35" s="198">
        <f>P35/R33</f>
        <v>9056.603774</v>
      </c>
      <c r="R35" s="199">
        <f>R33/L35</f>
        <v>47.7</v>
      </c>
      <c r="T35" s="201">
        <f>$D$35</f>
        <v>10</v>
      </c>
      <c r="U35" s="190">
        <f t="shared" si="3"/>
        <v>0.3</v>
      </c>
      <c r="V35" s="193">
        <f t="shared" si="92"/>
        <v>403200</v>
      </c>
      <c r="W35" s="195">
        <f t="shared" si="93"/>
        <v>403200</v>
      </c>
      <c r="X35" s="195">
        <f t="shared" si="86"/>
        <v>4032000</v>
      </c>
      <c r="Y35" s="198">
        <f>X35/Z33</f>
        <v>8452.830189</v>
      </c>
      <c r="Z35" s="199">
        <f>Z33/T35</f>
        <v>47.7</v>
      </c>
      <c r="AB35" s="201">
        <f>$D$35</f>
        <v>10</v>
      </c>
      <c r="AC35" s="190">
        <f t="shared" si="5"/>
        <v>0.35</v>
      </c>
      <c r="AD35" s="193">
        <f t="shared" si="94"/>
        <v>374400</v>
      </c>
      <c r="AE35" s="195">
        <f t="shared" si="95"/>
        <v>374400</v>
      </c>
      <c r="AF35" s="195">
        <f t="shared" si="87"/>
        <v>3744000</v>
      </c>
      <c r="AG35" s="198">
        <f>AF35/AH33</f>
        <v>7849.056604</v>
      </c>
      <c r="AH35" s="199">
        <f>AH33/AB35</f>
        <v>47.7</v>
      </c>
    </row>
    <row r="36" ht="14.25" customHeight="1">
      <c r="A36" s="154" t="s">
        <v>72</v>
      </c>
      <c r="B36" s="155">
        <f>B5+B7+B9+B11</f>
        <v>6304000</v>
      </c>
      <c r="D36" s="156">
        <v>1.0</v>
      </c>
      <c r="E36" s="157">
        <v>0.4</v>
      </c>
      <c r="F36" s="158">
        <f>H36</f>
        <v>3782400</v>
      </c>
      <c r="G36" s="158">
        <v>0.0</v>
      </c>
      <c r="H36" s="158">
        <f>B36-(B36*E36)</f>
        <v>3782400</v>
      </c>
      <c r="I36" s="159">
        <f>H36/J36</f>
        <v>7245.977011</v>
      </c>
      <c r="J36" s="160">
        <f>J5+J7+J9+J13</f>
        <v>522</v>
      </c>
      <c r="L36" s="203">
        <f>$D$36</f>
        <v>1</v>
      </c>
      <c r="M36" s="157">
        <f t="shared" si="1"/>
        <v>0.45</v>
      </c>
      <c r="N36" s="158">
        <f>P36</f>
        <v>3467200</v>
      </c>
      <c r="O36" s="158">
        <v>0.0</v>
      </c>
      <c r="P36" s="158">
        <f t="shared" ref="P36:P38" si="96">$B$36-($B$36*M36)</f>
        <v>3467200</v>
      </c>
      <c r="Q36" s="159">
        <f>P36/R36</f>
        <v>6642.145594</v>
      </c>
      <c r="R36" s="160">
        <f>J36</f>
        <v>522</v>
      </c>
      <c r="T36" s="203">
        <f>$D$36</f>
        <v>1</v>
      </c>
      <c r="U36" s="157">
        <f t="shared" si="3"/>
        <v>0.5</v>
      </c>
      <c r="V36" s="158">
        <f>X36</f>
        <v>3152000</v>
      </c>
      <c r="W36" s="158">
        <v>0.0</v>
      </c>
      <c r="X36" s="158">
        <f t="shared" ref="X36:X38" si="97">$B$36-($B$36*U36)</f>
        <v>3152000</v>
      </c>
      <c r="Y36" s="159">
        <f>X36/Z36</f>
        <v>6038.314176</v>
      </c>
      <c r="Z36" s="160">
        <f>R36</f>
        <v>522</v>
      </c>
      <c r="AB36" s="203">
        <f>$D$36</f>
        <v>1</v>
      </c>
      <c r="AC36" s="157">
        <f t="shared" si="5"/>
        <v>0.55</v>
      </c>
      <c r="AD36" s="158">
        <f>AF36</f>
        <v>2836800</v>
      </c>
      <c r="AE36" s="158">
        <v>0.0</v>
      </c>
      <c r="AF36" s="158">
        <f t="shared" ref="AF36:AF38" si="98">$B$36-($B$36*AC36)</f>
        <v>2836800</v>
      </c>
      <c r="AG36" s="159">
        <f>AF36/AH36</f>
        <v>5434.482759</v>
      </c>
      <c r="AH36" s="160">
        <f>Z36</f>
        <v>522</v>
      </c>
    </row>
    <row r="37" ht="14.25" customHeight="1">
      <c r="A37" s="129"/>
      <c r="B37" s="130"/>
      <c r="D37" s="204">
        <v>4.0</v>
      </c>
      <c r="E37" s="205">
        <v>0.35</v>
      </c>
      <c r="F37" s="206">
        <f t="shared" ref="F37:F38" si="99">H37/D37</f>
        <v>1024400</v>
      </c>
      <c r="G37" s="207">
        <f t="shared" ref="G37:G38" si="100">(H37-F37)/(D37-1)</f>
        <v>1024400</v>
      </c>
      <c r="H37" s="207">
        <f>B36-(B36*E37)</f>
        <v>4097600</v>
      </c>
      <c r="I37" s="208">
        <f>H37/J36</f>
        <v>7849.808429</v>
      </c>
      <c r="J37" s="209">
        <f>J36/D37</f>
        <v>130.5</v>
      </c>
      <c r="L37" s="210">
        <f>$D$37</f>
        <v>4</v>
      </c>
      <c r="M37" s="205">
        <f t="shared" si="1"/>
        <v>0.4</v>
      </c>
      <c r="N37" s="206">
        <f t="shared" ref="N37:N38" si="101">P37/L37</f>
        <v>945600</v>
      </c>
      <c r="O37" s="207">
        <f t="shared" ref="O37:O38" si="102">(P37-N37)/(L37-1)</f>
        <v>945600</v>
      </c>
      <c r="P37" s="207">
        <f t="shared" si="96"/>
        <v>3782400</v>
      </c>
      <c r="Q37" s="208">
        <f>P37/R36</f>
        <v>7245.977011</v>
      </c>
      <c r="R37" s="209">
        <f>R36/L37</f>
        <v>130.5</v>
      </c>
      <c r="T37" s="210">
        <f>$D$37</f>
        <v>4</v>
      </c>
      <c r="U37" s="205">
        <f t="shared" si="3"/>
        <v>0.45</v>
      </c>
      <c r="V37" s="206">
        <f t="shared" ref="V37:V38" si="103">X37/T37</f>
        <v>866800</v>
      </c>
      <c r="W37" s="207">
        <f t="shared" ref="W37:W38" si="104">(X37-V37)/(T37-1)</f>
        <v>866800</v>
      </c>
      <c r="X37" s="207">
        <f t="shared" si="97"/>
        <v>3467200</v>
      </c>
      <c r="Y37" s="208">
        <f>X37/Z36</f>
        <v>6642.145594</v>
      </c>
      <c r="Z37" s="209">
        <f>Z36/T37</f>
        <v>130.5</v>
      </c>
      <c r="AB37" s="210">
        <f>$D$37</f>
        <v>4</v>
      </c>
      <c r="AC37" s="205">
        <f t="shared" si="5"/>
        <v>0.5</v>
      </c>
      <c r="AD37" s="206">
        <f t="shared" ref="AD37:AD38" si="105">AF37/AB37</f>
        <v>788000</v>
      </c>
      <c r="AE37" s="207">
        <f t="shared" ref="AE37:AE38" si="106">(AF37-AD37)/(AB37-1)</f>
        <v>788000</v>
      </c>
      <c r="AF37" s="207">
        <f t="shared" si="98"/>
        <v>3152000</v>
      </c>
      <c r="AG37" s="208">
        <f>AF37/AH36</f>
        <v>6038.314176</v>
      </c>
      <c r="AH37" s="209">
        <f>AH36/AB37</f>
        <v>130.5</v>
      </c>
    </row>
    <row r="38" ht="14.25" customHeight="1">
      <c r="A38" s="145"/>
      <c r="B38" s="146"/>
      <c r="D38" s="204">
        <v>13.0</v>
      </c>
      <c r="E38" s="205">
        <v>0.3</v>
      </c>
      <c r="F38" s="206">
        <f t="shared" si="99"/>
        <v>339446.1538</v>
      </c>
      <c r="G38" s="207">
        <f t="shared" si="100"/>
        <v>339446.1538</v>
      </c>
      <c r="H38" s="207">
        <f>B36-(B36*E38)</f>
        <v>4412800</v>
      </c>
      <c r="I38" s="208">
        <f>H38/J36</f>
        <v>8453.639847</v>
      </c>
      <c r="J38" s="209">
        <f>J36/D38</f>
        <v>40.15384615</v>
      </c>
      <c r="L38" s="210">
        <f>$D$38</f>
        <v>13</v>
      </c>
      <c r="M38" s="205">
        <f t="shared" si="1"/>
        <v>0.35</v>
      </c>
      <c r="N38" s="206">
        <f t="shared" si="101"/>
        <v>315200</v>
      </c>
      <c r="O38" s="207">
        <f t="shared" si="102"/>
        <v>315200</v>
      </c>
      <c r="P38" s="207">
        <f t="shared" si="96"/>
        <v>4097600</v>
      </c>
      <c r="Q38" s="208">
        <f>P38/R36</f>
        <v>7849.808429</v>
      </c>
      <c r="R38" s="209">
        <f>R36/L38</f>
        <v>40.15384615</v>
      </c>
      <c r="T38" s="210">
        <f>$D$38</f>
        <v>13</v>
      </c>
      <c r="U38" s="205">
        <f t="shared" si="3"/>
        <v>0.4</v>
      </c>
      <c r="V38" s="206">
        <f t="shared" si="103"/>
        <v>290953.8462</v>
      </c>
      <c r="W38" s="207">
        <f t="shared" si="104"/>
        <v>290953.8462</v>
      </c>
      <c r="X38" s="207">
        <f t="shared" si="97"/>
        <v>3782400</v>
      </c>
      <c r="Y38" s="208">
        <f>X38/Z36</f>
        <v>7245.977011</v>
      </c>
      <c r="Z38" s="209">
        <f>Z36/T38</f>
        <v>40.15384615</v>
      </c>
      <c r="AB38" s="210">
        <f>$D$38</f>
        <v>13</v>
      </c>
      <c r="AC38" s="205">
        <f t="shared" si="5"/>
        <v>0.45</v>
      </c>
      <c r="AD38" s="206">
        <f t="shared" si="105"/>
        <v>266707.6923</v>
      </c>
      <c r="AE38" s="207">
        <f t="shared" si="106"/>
        <v>266707.6923</v>
      </c>
      <c r="AF38" s="207">
        <f t="shared" si="98"/>
        <v>3467200</v>
      </c>
      <c r="AG38" s="208">
        <f>AF38/AH36</f>
        <v>6642.145594</v>
      </c>
      <c r="AH38" s="209">
        <f>AH36/AB38</f>
        <v>40.15384615</v>
      </c>
    </row>
    <row r="39" ht="14.25" customHeight="1">
      <c r="A39" s="154" t="s">
        <v>74</v>
      </c>
      <c r="B39" s="155">
        <f>B7+B9+B11+B13</f>
        <v>7137000</v>
      </c>
      <c r="D39" s="156">
        <v>1.0</v>
      </c>
      <c r="E39" s="157">
        <v>0.4</v>
      </c>
      <c r="F39" s="158">
        <f>H39</f>
        <v>4282200</v>
      </c>
      <c r="G39" s="158">
        <v>0.0</v>
      </c>
      <c r="H39" s="158">
        <f>B39-(B39*E39)</f>
        <v>4282200</v>
      </c>
      <c r="I39" s="159">
        <f>H39/J39</f>
        <v>7245.685279</v>
      </c>
      <c r="J39" s="160">
        <f>+J7+J9+J13+J13</f>
        <v>591</v>
      </c>
      <c r="L39" s="203">
        <f>$D$39</f>
        <v>1</v>
      </c>
      <c r="M39" s="157">
        <f t="shared" si="1"/>
        <v>0.45</v>
      </c>
      <c r="N39" s="158">
        <f>P39</f>
        <v>3925350</v>
      </c>
      <c r="O39" s="158">
        <v>0.0</v>
      </c>
      <c r="P39" s="158">
        <f t="shared" ref="P39:P41" si="107">$B$39-($B$39*M39)</f>
        <v>3925350</v>
      </c>
      <c r="Q39" s="159">
        <f>P39/R39</f>
        <v>6641.878173</v>
      </c>
      <c r="R39" s="160">
        <f>J39</f>
        <v>591</v>
      </c>
      <c r="T39" s="203">
        <f>$D$39</f>
        <v>1</v>
      </c>
      <c r="U39" s="157">
        <f t="shared" si="3"/>
        <v>0.5</v>
      </c>
      <c r="V39" s="158">
        <f>X39</f>
        <v>3568500</v>
      </c>
      <c r="W39" s="158">
        <v>0.0</v>
      </c>
      <c r="X39" s="158">
        <f t="shared" ref="X39:X41" si="108">$B$39-($B$39*U39)</f>
        <v>3568500</v>
      </c>
      <c r="Y39" s="159">
        <f>X39/Z39</f>
        <v>6038.071066</v>
      </c>
      <c r="Z39" s="160">
        <f>R39</f>
        <v>591</v>
      </c>
      <c r="AB39" s="203">
        <f>$D$39</f>
        <v>1</v>
      </c>
      <c r="AC39" s="157">
        <f t="shared" si="5"/>
        <v>0.55</v>
      </c>
      <c r="AD39" s="158">
        <f>AF39</f>
        <v>3211650</v>
      </c>
      <c r="AE39" s="158">
        <v>0.0</v>
      </c>
      <c r="AF39" s="158">
        <f t="shared" ref="AF39:AF41" si="109">$B$39-($B$39*AC39)</f>
        <v>3211650</v>
      </c>
      <c r="AG39" s="159">
        <f>AF39/AH39</f>
        <v>5434.263959</v>
      </c>
      <c r="AH39" s="160">
        <f>Z39</f>
        <v>591</v>
      </c>
    </row>
    <row r="40" ht="14.25" customHeight="1">
      <c r="A40" s="129"/>
      <c r="B40" s="130"/>
      <c r="D40" s="204">
        <v>4.0</v>
      </c>
      <c r="E40" s="205">
        <v>0.35</v>
      </c>
      <c r="F40" s="206">
        <f t="shared" ref="F40:F41" si="110">H40/D40</f>
        <v>1159762.5</v>
      </c>
      <c r="G40" s="207">
        <f t="shared" ref="G40:G41" si="111">(H40-F40)/(D40-1)</f>
        <v>1159762.5</v>
      </c>
      <c r="H40" s="207">
        <f>B39-(B39*E40)</f>
        <v>4639050</v>
      </c>
      <c r="I40" s="208">
        <f>H40/J39</f>
        <v>7849.492386</v>
      </c>
      <c r="J40" s="209">
        <f>J39/D40</f>
        <v>147.75</v>
      </c>
      <c r="L40" s="210">
        <f>$D$40</f>
        <v>4</v>
      </c>
      <c r="M40" s="205">
        <f t="shared" si="1"/>
        <v>0.4</v>
      </c>
      <c r="N40" s="206">
        <f t="shared" ref="N40:N41" si="112">P40/L40</f>
        <v>1070550</v>
      </c>
      <c r="O40" s="207">
        <f t="shared" ref="O40:O41" si="113">(P40-N40)/(L40-1)</f>
        <v>1070550</v>
      </c>
      <c r="P40" s="207">
        <f t="shared" si="107"/>
        <v>4282200</v>
      </c>
      <c r="Q40" s="208">
        <f>P40/R39</f>
        <v>7245.685279</v>
      </c>
      <c r="R40" s="209">
        <f>R39/L40</f>
        <v>147.75</v>
      </c>
      <c r="T40" s="210">
        <f>$D$40</f>
        <v>4</v>
      </c>
      <c r="U40" s="205">
        <f t="shared" si="3"/>
        <v>0.45</v>
      </c>
      <c r="V40" s="206">
        <f t="shared" ref="V40:V41" si="114">X40/T40</f>
        <v>981337.5</v>
      </c>
      <c r="W40" s="207">
        <f t="shared" ref="W40:W41" si="115">(X40-V40)/(T40-1)</f>
        <v>981337.5</v>
      </c>
      <c r="X40" s="207">
        <f t="shared" si="108"/>
        <v>3925350</v>
      </c>
      <c r="Y40" s="208">
        <f>X40/Z39</f>
        <v>6641.878173</v>
      </c>
      <c r="Z40" s="209">
        <f>Z39/T40</f>
        <v>147.75</v>
      </c>
      <c r="AB40" s="210">
        <f>$D$40</f>
        <v>4</v>
      </c>
      <c r="AC40" s="205">
        <f t="shared" si="5"/>
        <v>0.5</v>
      </c>
      <c r="AD40" s="206">
        <f t="shared" ref="AD40:AD41" si="116">AF40/AB40</f>
        <v>892125</v>
      </c>
      <c r="AE40" s="207">
        <f t="shared" ref="AE40:AE41" si="117">(AF40-AD40)/(AB40-1)</f>
        <v>892125</v>
      </c>
      <c r="AF40" s="207">
        <f t="shared" si="109"/>
        <v>3568500</v>
      </c>
      <c r="AG40" s="208">
        <f>AF40/AH39</f>
        <v>6038.071066</v>
      </c>
      <c r="AH40" s="209">
        <f>AH39/AB40</f>
        <v>147.75</v>
      </c>
    </row>
    <row r="41" ht="14.25" customHeight="1">
      <c r="A41" s="145"/>
      <c r="B41" s="146"/>
      <c r="D41" s="204">
        <v>13.0</v>
      </c>
      <c r="E41" s="205">
        <v>0.3</v>
      </c>
      <c r="F41" s="206">
        <f t="shared" si="110"/>
        <v>384300</v>
      </c>
      <c r="G41" s="207">
        <f t="shared" si="111"/>
        <v>384300</v>
      </c>
      <c r="H41" s="207">
        <f>B39-(B39*E41)</f>
        <v>4995900</v>
      </c>
      <c r="I41" s="208">
        <f>H41/J39</f>
        <v>8453.299492</v>
      </c>
      <c r="J41" s="209">
        <f>J39/D41</f>
        <v>45.46153846</v>
      </c>
      <c r="L41" s="210">
        <f>$D$41</f>
        <v>13</v>
      </c>
      <c r="M41" s="205">
        <f t="shared" si="1"/>
        <v>0.35</v>
      </c>
      <c r="N41" s="206">
        <f t="shared" si="112"/>
        <v>356850</v>
      </c>
      <c r="O41" s="207">
        <f t="shared" si="113"/>
        <v>356850</v>
      </c>
      <c r="P41" s="207">
        <f t="shared" si="107"/>
        <v>4639050</v>
      </c>
      <c r="Q41" s="208">
        <f>P41/R39</f>
        <v>7849.492386</v>
      </c>
      <c r="R41" s="209">
        <f>R39/L41</f>
        <v>45.46153846</v>
      </c>
      <c r="T41" s="210">
        <f>$D$41</f>
        <v>13</v>
      </c>
      <c r="U41" s="205">
        <f t="shared" si="3"/>
        <v>0.4</v>
      </c>
      <c r="V41" s="206">
        <f t="shared" si="114"/>
        <v>329400</v>
      </c>
      <c r="W41" s="207">
        <f t="shared" si="115"/>
        <v>329400</v>
      </c>
      <c r="X41" s="207">
        <f t="shared" si="108"/>
        <v>4282200</v>
      </c>
      <c r="Y41" s="208">
        <f>X41/Z39</f>
        <v>7245.685279</v>
      </c>
      <c r="Z41" s="209">
        <f>Z39/T41</f>
        <v>45.46153846</v>
      </c>
      <c r="AB41" s="210">
        <f>$D$41</f>
        <v>13</v>
      </c>
      <c r="AC41" s="205">
        <f t="shared" si="5"/>
        <v>0.45</v>
      </c>
      <c r="AD41" s="206">
        <f t="shared" si="116"/>
        <v>301950</v>
      </c>
      <c r="AE41" s="207">
        <f t="shared" si="117"/>
        <v>301950</v>
      </c>
      <c r="AF41" s="207">
        <f t="shared" si="109"/>
        <v>3925350</v>
      </c>
      <c r="AG41" s="208">
        <f>AF41/AH39</f>
        <v>6641.878173</v>
      </c>
      <c r="AH41" s="209">
        <f>AH39/AB41</f>
        <v>45.46153846</v>
      </c>
    </row>
    <row r="42" ht="14.25" customHeight="1">
      <c r="A42" s="212" t="s">
        <v>76</v>
      </c>
      <c r="B42" s="213">
        <f>B5+B7+B9+B11+B13</f>
        <v>8224000</v>
      </c>
      <c r="D42" s="214">
        <v>1.0</v>
      </c>
      <c r="E42" s="215">
        <v>0.5</v>
      </c>
      <c r="F42" s="216">
        <f>H42</f>
        <v>4112000</v>
      </c>
      <c r="G42" s="216">
        <v>0.0</v>
      </c>
      <c r="H42" s="216">
        <f>B42-(B42*E42)</f>
        <v>4112000</v>
      </c>
      <c r="I42" s="217">
        <f>H42/J42</f>
        <v>6038.179148</v>
      </c>
      <c r="J42" s="218">
        <f>J5+J7+J9+J13+J13</f>
        <v>681</v>
      </c>
      <c r="L42" s="219">
        <f>$D$42</f>
        <v>1</v>
      </c>
      <c r="M42" s="215">
        <f t="shared" si="1"/>
        <v>0.55</v>
      </c>
      <c r="N42" s="216">
        <f>P42</f>
        <v>3700800</v>
      </c>
      <c r="O42" s="216">
        <v>0.0</v>
      </c>
      <c r="P42" s="216">
        <f t="shared" ref="P42:P45" si="118">$B$42-($B$42*M42)</f>
        <v>3700800</v>
      </c>
      <c r="Q42" s="217">
        <f>P42/R42</f>
        <v>5434.361233</v>
      </c>
      <c r="R42" s="218">
        <f>J42</f>
        <v>681</v>
      </c>
      <c r="T42" s="219">
        <f>$D$42</f>
        <v>1</v>
      </c>
      <c r="U42" s="215">
        <f t="shared" si="3"/>
        <v>0.6</v>
      </c>
      <c r="V42" s="216">
        <f>X42</f>
        <v>3289600</v>
      </c>
      <c r="W42" s="216">
        <v>0.0</v>
      </c>
      <c r="X42" s="216">
        <f t="shared" ref="X42:X45" si="119">$B$42-($B$42*U42)</f>
        <v>3289600</v>
      </c>
      <c r="Y42" s="217">
        <f>X42/Z42</f>
        <v>4830.543319</v>
      </c>
      <c r="Z42" s="218">
        <f>R42</f>
        <v>681</v>
      </c>
      <c r="AB42" s="219">
        <f>$D$42</f>
        <v>1</v>
      </c>
      <c r="AC42" s="215">
        <f t="shared" si="5"/>
        <v>0.65</v>
      </c>
      <c r="AD42" s="216">
        <f>AF42</f>
        <v>2878400</v>
      </c>
      <c r="AE42" s="216">
        <v>0.0</v>
      </c>
      <c r="AF42" s="216">
        <f t="shared" ref="AF42:AF45" si="120">$B$42-($B$42*AC42)</f>
        <v>2878400</v>
      </c>
      <c r="AG42" s="217">
        <f>AF42/AH42</f>
        <v>4226.725404</v>
      </c>
      <c r="AH42" s="218">
        <f>Z42</f>
        <v>681</v>
      </c>
    </row>
    <row r="43" ht="14.25" customHeight="1">
      <c r="A43" s="129"/>
      <c r="B43" s="130"/>
      <c r="D43" s="220">
        <v>5.0</v>
      </c>
      <c r="E43" s="221">
        <v>0.45</v>
      </c>
      <c r="F43" s="222">
        <f t="shared" ref="F43:F45" si="121">H43/D43</f>
        <v>904640</v>
      </c>
      <c r="G43" s="223">
        <f t="shared" ref="G43:G45" si="122">(H43-F43)/(D43-1)</f>
        <v>904640</v>
      </c>
      <c r="H43" s="223">
        <f>B42-(B42*E43)</f>
        <v>4523200</v>
      </c>
      <c r="I43" s="224">
        <f>H43/J42</f>
        <v>6641.997063</v>
      </c>
      <c r="J43" s="225">
        <f>J42/D43</f>
        <v>136.2</v>
      </c>
      <c r="L43" s="226">
        <f>$D$43</f>
        <v>5</v>
      </c>
      <c r="M43" s="221">
        <f t="shared" si="1"/>
        <v>0.5</v>
      </c>
      <c r="N43" s="222">
        <f t="shared" ref="N43:N45" si="123">P43/L43</f>
        <v>822400</v>
      </c>
      <c r="O43" s="223">
        <f t="shared" ref="O43:O45" si="124">(P43-N43)/(L43-1)</f>
        <v>822400</v>
      </c>
      <c r="P43" s="223">
        <f t="shared" si="118"/>
        <v>4112000</v>
      </c>
      <c r="Q43" s="224">
        <f>P43/R42</f>
        <v>6038.179148</v>
      </c>
      <c r="R43" s="225">
        <f>R42/L43</f>
        <v>136.2</v>
      </c>
      <c r="T43" s="226">
        <f>$D$43</f>
        <v>5</v>
      </c>
      <c r="U43" s="221">
        <f t="shared" si="3"/>
        <v>0.55</v>
      </c>
      <c r="V43" s="222">
        <f t="shared" ref="V43:V45" si="125">X43/T43</f>
        <v>740160</v>
      </c>
      <c r="W43" s="223">
        <f t="shared" ref="W43:W45" si="126">(X43-V43)/(T43-1)</f>
        <v>740160</v>
      </c>
      <c r="X43" s="223">
        <f t="shared" si="119"/>
        <v>3700800</v>
      </c>
      <c r="Y43" s="224">
        <f>X43/Z42</f>
        <v>5434.361233</v>
      </c>
      <c r="Z43" s="225">
        <f>Z42/T43</f>
        <v>136.2</v>
      </c>
      <c r="AB43" s="226">
        <f>$D$43</f>
        <v>5</v>
      </c>
      <c r="AC43" s="221">
        <f t="shared" si="5"/>
        <v>0.6</v>
      </c>
      <c r="AD43" s="222">
        <f t="shared" ref="AD43:AD45" si="127">AF43/AB43</f>
        <v>657920</v>
      </c>
      <c r="AE43" s="223">
        <f t="shared" ref="AE43:AE45" si="128">(AF43-AD43)/(AB43-1)</f>
        <v>657920</v>
      </c>
      <c r="AF43" s="223">
        <f t="shared" si="120"/>
        <v>3289600</v>
      </c>
      <c r="AG43" s="224">
        <f>AF43/AH42</f>
        <v>4830.543319</v>
      </c>
      <c r="AH43" s="225">
        <f>AH42/AB43</f>
        <v>136.2</v>
      </c>
    </row>
    <row r="44" ht="14.25" customHeight="1">
      <c r="A44" s="129"/>
      <c r="B44" s="130"/>
      <c r="D44" s="220">
        <v>15.0</v>
      </c>
      <c r="E44" s="221">
        <v>0.4</v>
      </c>
      <c r="F44" s="222">
        <f t="shared" si="121"/>
        <v>328960</v>
      </c>
      <c r="G44" s="223">
        <f t="shared" si="122"/>
        <v>328960</v>
      </c>
      <c r="H44" s="223">
        <f>B42-(B42*E44)</f>
        <v>4934400</v>
      </c>
      <c r="I44" s="224">
        <f>H44/J42</f>
        <v>7245.814978</v>
      </c>
      <c r="J44" s="225">
        <f>J42/D44</f>
        <v>45.4</v>
      </c>
      <c r="L44" s="226">
        <f>$D$44</f>
        <v>15</v>
      </c>
      <c r="M44" s="221">
        <f t="shared" si="1"/>
        <v>0.45</v>
      </c>
      <c r="N44" s="222">
        <f t="shared" si="123"/>
        <v>301546.6667</v>
      </c>
      <c r="O44" s="223">
        <f t="shared" si="124"/>
        <v>301546.6667</v>
      </c>
      <c r="P44" s="223">
        <f t="shared" si="118"/>
        <v>4523200</v>
      </c>
      <c r="Q44" s="224">
        <f>P44/R42</f>
        <v>6641.997063</v>
      </c>
      <c r="R44" s="225">
        <f>R42/L44</f>
        <v>45.4</v>
      </c>
      <c r="T44" s="226">
        <f>$D$44</f>
        <v>15</v>
      </c>
      <c r="U44" s="221">
        <f t="shared" si="3"/>
        <v>0.5</v>
      </c>
      <c r="V44" s="222">
        <f t="shared" si="125"/>
        <v>274133.3333</v>
      </c>
      <c r="W44" s="223">
        <f t="shared" si="126"/>
        <v>274133.3333</v>
      </c>
      <c r="X44" s="223">
        <f t="shared" si="119"/>
        <v>4112000</v>
      </c>
      <c r="Y44" s="224">
        <f>X44/Z42</f>
        <v>6038.179148</v>
      </c>
      <c r="Z44" s="225">
        <f>Z42/T44</f>
        <v>45.4</v>
      </c>
      <c r="AB44" s="226">
        <f>$D$44</f>
        <v>15</v>
      </c>
      <c r="AC44" s="221">
        <f t="shared" si="5"/>
        <v>0.55</v>
      </c>
      <c r="AD44" s="222">
        <f t="shared" si="127"/>
        <v>246720</v>
      </c>
      <c r="AE44" s="223">
        <f t="shared" si="128"/>
        <v>246720</v>
      </c>
      <c r="AF44" s="223">
        <f t="shared" si="120"/>
        <v>3700800</v>
      </c>
      <c r="AG44" s="224">
        <f>AF44/AH42</f>
        <v>5434.361233</v>
      </c>
      <c r="AH44" s="225">
        <f>AH42/AB44</f>
        <v>45.4</v>
      </c>
    </row>
    <row r="45" ht="14.25" hidden="1" customHeight="1">
      <c r="A45" s="68"/>
      <c r="B45" s="69"/>
      <c r="D45" s="227">
        <v>18.0</v>
      </c>
      <c r="E45" s="228">
        <v>0.4</v>
      </c>
      <c r="F45" s="229">
        <f t="shared" si="121"/>
        <v>274133.3333</v>
      </c>
      <c r="G45" s="230">
        <f t="shared" si="122"/>
        <v>274133.3333</v>
      </c>
      <c r="H45" s="230">
        <f>B42-(B42*E45)</f>
        <v>4934400</v>
      </c>
      <c r="I45" s="231">
        <f>H45/J42</f>
        <v>7245.814978</v>
      </c>
      <c r="J45" s="232">
        <f>J42/D45</f>
        <v>37.83333333</v>
      </c>
      <c r="L45" s="233">
        <f>$D$45</f>
        <v>18</v>
      </c>
      <c r="M45" s="228">
        <f t="shared" si="1"/>
        <v>0.45</v>
      </c>
      <c r="N45" s="229">
        <f t="shared" si="123"/>
        <v>251288.8889</v>
      </c>
      <c r="O45" s="230">
        <f t="shared" si="124"/>
        <v>251288.8889</v>
      </c>
      <c r="P45" s="230">
        <f t="shared" si="118"/>
        <v>4523200</v>
      </c>
      <c r="Q45" s="231">
        <f>P45/R42</f>
        <v>6641.997063</v>
      </c>
      <c r="R45" s="232">
        <f>R42/L45</f>
        <v>37.83333333</v>
      </c>
      <c r="T45" s="233">
        <f>$D$45</f>
        <v>18</v>
      </c>
      <c r="U45" s="228">
        <f t="shared" si="3"/>
        <v>0.5</v>
      </c>
      <c r="V45" s="229">
        <f t="shared" si="125"/>
        <v>228444.4444</v>
      </c>
      <c r="W45" s="230">
        <f t="shared" si="126"/>
        <v>228444.4444</v>
      </c>
      <c r="X45" s="230">
        <f t="shared" si="119"/>
        <v>4112000</v>
      </c>
      <c r="Y45" s="231">
        <f>X45/Z42</f>
        <v>6038.179148</v>
      </c>
      <c r="Z45" s="232">
        <f>Z42/T45</f>
        <v>37.83333333</v>
      </c>
      <c r="AB45" s="233">
        <f>$D$45</f>
        <v>18</v>
      </c>
      <c r="AC45" s="228">
        <f t="shared" si="5"/>
        <v>0.55</v>
      </c>
      <c r="AD45" s="229">
        <f t="shared" si="127"/>
        <v>205600</v>
      </c>
      <c r="AE45" s="230">
        <f t="shared" si="128"/>
        <v>205600</v>
      </c>
      <c r="AF45" s="230">
        <f t="shared" si="120"/>
        <v>3700800</v>
      </c>
      <c r="AG45" s="231">
        <f>AF45/AH42</f>
        <v>5434.361233</v>
      </c>
      <c r="AH45" s="232">
        <f>AH42/AB45</f>
        <v>37.83333333</v>
      </c>
    </row>
    <row r="46" ht="14.25" customHeight="1">
      <c r="E46" s="3"/>
      <c r="F46" s="9"/>
      <c r="H46" s="9"/>
      <c r="V46" s="9"/>
    </row>
    <row r="47" ht="14.25" customHeight="1">
      <c r="A47" s="234" t="s">
        <v>78</v>
      </c>
      <c r="B47" s="234" t="s">
        <v>79</v>
      </c>
      <c r="E47" s="3"/>
    </row>
    <row r="48" ht="14.25" customHeight="1">
      <c r="A48" s="235" t="s">
        <v>80</v>
      </c>
      <c r="B48" s="236" t="s">
        <v>81</v>
      </c>
      <c r="E48" s="3"/>
    </row>
    <row r="49" ht="14.25" customHeight="1">
      <c r="A49" s="235" t="s">
        <v>82</v>
      </c>
      <c r="B49" s="236" t="s">
        <v>83</v>
      </c>
      <c r="E49" s="3"/>
    </row>
    <row r="50" ht="14.25" customHeight="1">
      <c r="A50" s="237"/>
      <c r="B50" s="237"/>
      <c r="E50" s="3"/>
    </row>
    <row r="51" ht="14.25" customHeight="1">
      <c r="A51" s="238" t="s">
        <v>84</v>
      </c>
      <c r="B51" s="236" t="s">
        <v>85</v>
      </c>
      <c r="E51" s="3"/>
    </row>
    <row r="52" ht="14.25" customHeight="1">
      <c r="A52" s="238" t="s">
        <v>86</v>
      </c>
      <c r="B52" s="236" t="s">
        <v>87</v>
      </c>
      <c r="E52" s="3"/>
    </row>
    <row r="53" ht="14.25" customHeight="1">
      <c r="A53" s="237"/>
      <c r="B53" s="237"/>
      <c r="E53" s="3"/>
    </row>
    <row r="54" ht="14.25" customHeight="1">
      <c r="A54" s="238" t="s">
        <v>88</v>
      </c>
      <c r="B54" s="239" t="s">
        <v>89</v>
      </c>
      <c r="E54" s="3"/>
    </row>
    <row r="55" ht="14.25" customHeight="1">
      <c r="A55" s="238" t="s">
        <v>90</v>
      </c>
      <c r="B55" s="236" t="s">
        <v>91</v>
      </c>
      <c r="E55" s="3"/>
    </row>
    <row r="56" ht="14.25" customHeight="1">
      <c r="A56" s="237"/>
      <c r="B56" s="237"/>
      <c r="E56" s="3"/>
    </row>
    <row r="57" ht="14.25" customHeight="1">
      <c r="A57" s="240" t="s">
        <v>92</v>
      </c>
      <c r="B57" s="241" t="s">
        <v>93</v>
      </c>
      <c r="E57" s="3"/>
    </row>
    <row r="58" ht="14.25" customHeight="1">
      <c r="A58" s="241" t="s">
        <v>94</v>
      </c>
      <c r="B58" s="241" t="s">
        <v>95</v>
      </c>
      <c r="E58" s="3"/>
    </row>
    <row r="59" ht="14.25" customHeight="1">
      <c r="A59" s="237"/>
      <c r="B59" s="237"/>
      <c r="E59" s="3"/>
    </row>
    <row r="60" ht="14.25" customHeight="1">
      <c r="A60" s="235" t="s">
        <v>96</v>
      </c>
      <c r="B60" s="239" t="s">
        <v>97</v>
      </c>
      <c r="E60" s="3"/>
    </row>
    <row r="61" ht="14.25" customHeight="1">
      <c r="A61" s="235" t="s">
        <v>98</v>
      </c>
      <c r="B61" s="236" t="s">
        <v>99</v>
      </c>
      <c r="E61" s="3"/>
    </row>
    <row r="62" ht="14.25" customHeight="1">
      <c r="A62" s="237"/>
      <c r="B62" s="237"/>
      <c r="E62" s="3"/>
    </row>
    <row r="63" ht="14.25" customHeight="1">
      <c r="A63" s="238" t="s">
        <v>100</v>
      </c>
      <c r="B63" s="242" t="s">
        <v>101</v>
      </c>
      <c r="E63" s="3"/>
    </row>
    <row r="64" ht="14.25" customHeight="1">
      <c r="A64" s="243" t="s">
        <v>102</v>
      </c>
      <c r="B64" s="242" t="s">
        <v>103</v>
      </c>
      <c r="E64" s="3"/>
    </row>
    <row r="65" ht="14.25" customHeight="1">
      <c r="A65" s="244"/>
      <c r="B65" s="244"/>
      <c r="E65" s="3"/>
    </row>
    <row r="66" ht="14.25" customHeight="1">
      <c r="A66" s="246" t="s">
        <v>104</v>
      </c>
      <c r="B66" s="242" t="s">
        <v>106</v>
      </c>
      <c r="E66" s="3"/>
    </row>
    <row r="67" ht="14.25" customHeight="1">
      <c r="A67" s="246" t="s">
        <v>107</v>
      </c>
      <c r="B67" s="242" t="s">
        <v>108</v>
      </c>
      <c r="E67" s="3"/>
    </row>
    <row r="68" ht="14.25" customHeight="1">
      <c r="A68" s="244"/>
      <c r="B68" s="244"/>
      <c r="E68" s="3"/>
    </row>
    <row r="69" ht="14.25" customHeight="1">
      <c r="A69" s="247" t="s">
        <v>109</v>
      </c>
      <c r="B69" s="247" t="s">
        <v>110</v>
      </c>
      <c r="E69" s="3"/>
    </row>
    <row r="70" ht="14.25" customHeight="1">
      <c r="E70" s="3"/>
    </row>
    <row r="71" ht="14.25" customHeight="1">
      <c r="E71" s="3"/>
    </row>
    <row r="72" ht="14.25" customHeight="1">
      <c r="A72" s="248" t="s">
        <v>111</v>
      </c>
      <c r="B72" s="249" t="s">
        <v>112</v>
      </c>
      <c r="E72" s="3"/>
    </row>
    <row r="73" ht="14.25" customHeight="1">
      <c r="A73" s="248" t="s">
        <v>114</v>
      </c>
      <c r="B73" s="249" t="s">
        <v>115</v>
      </c>
      <c r="E73" s="3"/>
    </row>
    <row r="74" ht="14.25" customHeight="1">
      <c r="E74" s="3"/>
    </row>
    <row r="75" ht="14.25" customHeight="1">
      <c r="A75" s="248" t="s">
        <v>116</v>
      </c>
      <c r="B75" s="249" t="s">
        <v>117</v>
      </c>
      <c r="E75" s="3"/>
    </row>
    <row r="76" ht="14.25" customHeight="1">
      <c r="A76" s="248" t="s">
        <v>118</v>
      </c>
      <c r="B76" s="249" t="s">
        <v>119</v>
      </c>
      <c r="E76" s="3"/>
    </row>
    <row r="77" ht="14.25" customHeight="1">
      <c r="E77" s="3"/>
    </row>
    <row r="78" ht="14.25" customHeight="1">
      <c r="A78" s="248" t="s">
        <v>120</v>
      </c>
      <c r="B78" s="251" t="s">
        <v>121</v>
      </c>
      <c r="E78" s="3"/>
    </row>
    <row r="79" ht="14.25" customHeight="1">
      <c r="A79" s="248" t="s">
        <v>122</v>
      </c>
      <c r="B79" s="249" t="s">
        <v>123</v>
      </c>
      <c r="E79" s="3"/>
    </row>
    <row r="80" ht="14.25" customHeight="1">
      <c r="E80" s="3"/>
    </row>
    <row r="81" ht="14.25" customHeight="1">
      <c r="A81" s="248" t="s">
        <v>124</v>
      </c>
      <c r="B81" s="249" t="s">
        <v>125</v>
      </c>
      <c r="E81" s="3"/>
    </row>
    <row r="82" ht="14.25" customHeight="1">
      <c r="A82" s="248" t="s">
        <v>126</v>
      </c>
      <c r="B82" s="249" t="s">
        <v>127</v>
      </c>
      <c r="E82" s="3"/>
    </row>
    <row r="83" ht="14.25" customHeight="1">
      <c r="E83" s="3"/>
    </row>
    <row r="84" ht="14.25" customHeight="1">
      <c r="E84" s="3"/>
    </row>
    <row r="85" ht="14.25" customHeight="1">
      <c r="E85" s="3"/>
    </row>
    <row r="86" ht="14.25" customHeight="1">
      <c r="E86" s="3"/>
    </row>
    <row r="87" ht="14.25" customHeight="1">
      <c r="E87" s="3"/>
    </row>
    <row r="88" ht="14.25" customHeight="1">
      <c r="E88" s="3"/>
    </row>
    <row r="89" ht="14.25" customHeight="1">
      <c r="E89" s="3"/>
    </row>
    <row r="90" ht="14.25" customHeight="1">
      <c r="E90" s="3"/>
    </row>
    <row r="91" ht="14.25" customHeight="1">
      <c r="E91" s="3"/>
    </row>
    <row r="92" ht="14.25" customHeight="1">
      <c r="E92" s="3"/>
    </row>
    <row r="93" ht="14.25" customHeight="1">
      <c r="E93" s="3"/>
    </row>
    <row r="94" ht="14.25" customHeight="1">
      <c r="E94" s="3"/>
    </row>
    <row r="95" ht="14.25" customHeight="1">
      <c r="E95" s="3"/>
    </row>
    <row r="96" ht="14.25" customHeight="1">
      <c r="E96" s="3"/>
    </row>
    <row r="97" ht="14.25" customHeight="1">
      <c r="E97" s="3"/>
    </row>
    <row r="98" ht="14.25" customHeight="1">
      <c r="E98" s="3"/>
    </row>
    <row r="99" ht="14.25" customHeight="1">
      <c r="E99" s="3"/>
    </row>
    <row r="100" ht="14.25" customHeight="1">
      <c r="E100" s="3"/>
    </row>
    <row r="101" ht="14.25" customHeight="1">
      <c r="E101" s="3"/>
    </row>
    <row r="102" ht="14.25" customHeight="1">
      <c r="E102" s="3"/>
    </row>
    <row r="103" ht="14.25" customHeight="1">
      <c r="E103" s="3"/>
    </row>
    <row r="104" ht="14.25" customHeight="1">
      <c r="E104" s="3"/>
    </row>
    <row r="105" ht="14.25" customHeight="1">
      <c r="E105" s="3"/>
    </row>
    <row r="106" ht="14.25" customHeight="1">
      <c r="E106" s="3"/>
    </row>
    <row r="107" ht="14.25" customHeight="1">
      <c r="E107" s="3"/>
    </row>
    <row r="108" ht="14.25" customHeight="1">
      <c r="E108" s="3"/>
    </row>
    <row r="109" ht="14.25" customHeight="1">
      <c r="E109" s="3"/>
    </row>
    <row r="110" ht="14.25" customHeight="1">
      <c r="E110" s="3"/>
    </row>
    <row r="111" ht="14.25" customHeight="1">
      <c r="E111" s="3"/>
    </row>
    <row r="112" ht="14.25" customHeight="1">
      <c r="E112" s="3"/>
    </row>
    <row r="113" ht="14.25" customHeight="1">
      <c r="E113" s="3"/>
    </row>
    <row r="114" ht="14.25" customHeight="1">
      <c r="E114" s="3"/>
    </row>
    <row r="115" ht="14.25" customHeight="1">
      <c r="E115" s="3"/>
    </row>
    <row r="116" ht="14.25" customHeight="1">
      <c r="E116" s="3"/>
    </row>
    <row r="117" ht="14.25" customHeight="1">
      <c r="E117" s="3"/>
    </row>
    <row r="118" ht="14.25" customHeight="1">
      <c r="E118" s="3"/>
    </row>
    <row r="119" ht="14.25" customHeight="1">
      <c r="E119" s="3"/>
    </row>
    <row r="120" ht="14.25" customHeight="1">
      <c r="E120" s="3"/>
    </row>
    <row r="121" ht="14.25" customHeight="1">
      <c r="E121" s="3"/>
    </row>
    <row r="122" ht="14.25" customHeight="1">
      <c r="E122" s="3"/>
    </row>
    <row r="123" ht="14.25" customHeight="1">
      <c r="E123" s="3"/>
    </row>
    <row r="124" ht="14.25" customHeight="1">
      <c r="E124" s="3"/>
    </row>
    <row r="125" ht="14.25" customHeight="1">
      <c r="E125" s="3"/>
    </row>
    <row r="126" ht="14.25" customHeight="1">
      <c r="E126" s="3"/>
    </row>
    <row r="127" ht="14.25" customHeight="1">
      <c r="E127" s="3"/>
    </row>
    <row r="128" ht="14.25" customHeight="1">
      <c r="E128" s="3"/>
    </row>
    <row r="129" ht="14.25" customHeight="1">
      <c r="E129" s="3"/>
    </row>
    <row r="130" ht="14.25" customHeight="1">
      <c r="E130" s="3"/>
    </row>
    <row r="131" ht="14.25" customHeight="1">
      <c r="E131" s="3"/>
    </row>
    <row r="132" ht="14.25" customHeight="1">
      <c r="E132" s="3"/>
    </row>
    <row r="133" ht="14.25" customHeight="1">
      <c r="E133" s="3"/>
    </row>
    <row r="134" ht="14.25" customHeight="1">
      <c r="E134" s="3"/>
    </row>
    <row r="135" ht="14.25" customHeight="1">
      <c r="E135" s="3"/>
    </row>
    <row r="136" ht="14.25" customHeight="1">
      <c r="E136" s="3"/>
    </row>
    <row r="137" ht="14.25" customHeight="1">
      <c r="E137" s="3"/>
    </row>
    <row r="138" ht="14.25" customHeight="1">
      <c r="E138" s="3"/>
    </row>
    <row r="139" ht="14.25" customHeight="1">
      <c r="E139" s="3"/>
    </row>
    <row r="140" ht="14.25" customHeight="1">
      <c r="E140" s="3"/>
    </row>
    <row r="141" ht="14.25" customHeight="1">
      <c r="E141" s="3"/>
    </row>
    <row r="142" ht="14.25" customHeight="1">
      <c r="E142" s="3"/>
    </row>
    <row r="143" ht="14.25" customHeight="1">
      <c r="E143" s="3"/>
    </row>
    <row r="144" ht="14.25" customHeight="1">
      <c r="E144" s="3"/>
    </row>
    <row r="145" ht="14.25" customHeight="1">
      <c r="E145" s="3"/>
    </row>
    <row r="146" ht="14.25" customHeight="1">
      <c r="E146" s="3"/>
    </row>
    <row r="147" ht="14.25" customHeight="1">
      <c r="E147" s="3"/>
    </row>
    <row r="148" ht="14.25" customHeight="1">
      <c r="E148" s="3"/>
    </row>
    <row r="149" ht="14.25" customHeight="1">
      <c r="E149" s="3"/>
    </row>
    <row r="150" ht="14.25" customHeight="1">
      <c r="E150" s="3"/>
    </row>
    <row r="151" ht="14.25" customHeight="1">
      <c r="E151" s="3"/>
    </row>
    <row r="152" ht="14.25" customHeight="1">
      <c r="E152" s="3"/>
    </row>
    <row r="153" ht="14.25" customHeight="1">
      <c r="E153" s="3"/>
    </row>
    <row r="154" ht="14.25" customHeight="1">
      <c r="E154" s="3"/>
    </row>
    <row r="155" ht="14.25" customHeight="1">
      <c r="E155" s="3"/>
    </row>
    <row r="156" ht="14.25" customHeight="1">
      <c r="E156" s="3"/>
    </row>
    <row r="157" ht="14.25" customHeight="1">
      <c r="E157" s="3"/>
    </row>
    <row r="158" ht="14.25" customHeight="1">
      <c r="E158" s="3"/>
    </row>
    <row r="159" ht="14.25" customHeight="1">
      <c r="E159" s="3"/>
    </row>
    <row r="160" ht="14.25" customHeight="1">
      <c r="E160" s="3"/>
    </row>
    <row r="161" ht="14.25" customHeight="1">
      <c r="E161" s="3"/>
    </row>
    <row r="162" ht="14.25" customHeight="1">
      <c r="E162" s="3"/>
    </row>
    <row r="163" ht="14.25" customHeight="1">
      <c r="E163" s="3"/>
    </row>
    <row r="164" ht="14.25" customHeight="1">
      <c r="E164" s="3"/>
    </row>
    <row r="165" ht="14.25" customHeight="1">
      <c r="E165" s="3"/>
    </row>
    <row r="166" ht="14.25" customHeight="1">
      <c r="E166" s="3"/>
    </row>
    <row r="167" ht="14.25" customHeight="1">
      <c r="E167" s="3"/>
    </row>
    <row r="168" ht="14.25" customHeight="1">
      <c r="E168" s="3"/>
    </row>
    <row r="169" ht="14.25" customHeight="1">
      <c r="E169" s="3"/>
    </row>
    <row r="170" ht="14.25" customHeight="1">
      <c r="E170" s="3"/>
    </row>
    <row r="171" ht="14.25" customHeight="1">
      <c r="E171" s="3"/>
    </row>
    <row r="172" ht="14.25" customHeight="1">
      <c r="E172" s="3"/>
    </row>
    <row r="173" ht="14.25" customHeight="1">
      <c r="E173" s="3"/>
    </row>
    <row r="174" ht="14.25" customHeight="1">
      <c r="E174" s="3"/>
    </row>
    <row r="175" ht="14.25" customHeight="1">
      <c r="E175" s="3"/>
    </row>
    <row r="176" ht="14.25" customHeight="1">
      <c r="E176" s="3"/>
    </row>
    <row r="177" ht="14.25" customHeight="1">
      <c r="E177" s="3"/>
    </row>
    <row r="178" ht="14.25" customHeight="1">
      <c r="E178" s="3"/>
    </row>
    <row r="179" ht="14.25" customHeight="1">
      <c r="E179" s="3"/>
    </row>
    <row r="180" ht="14.25" customHeight="1">
      <c r="E180" s="3"/>
    </row>
    <row r="181" ht="14.25" customHeight="1">
      <c r="E181" s="3"/>
    </row>
    <row r="182" ht="14.25" customHeight="1">
      <c r="E182" s="3"/>
    </row>
    <row r="183" ht="14.25" customHeight="1">
      <c r="E183" s="3"/>
    </row>
    <row r="184" ht="14.25" customHeight="1">
      <c r="E184" s="3"/>
    </row>
    <row r="185" ht="14.25" customHeight="1">
      <c r="E185" s="3"/>
    </row>
    <row r="186" ht="14.25" customHeight="1">
      <c r="E186" s="3"/>
    </row>
    <row r="187" ht="14.25" customHeight="1">
      <c r="E187" s="3"/>
    </row>
    <row r="188" ht="14.25" customHeight="1">
      <c r="E188" s="3"/>
    </row>
    <row r="189" ht="14.25" customHeight="1">
      <c r="E189" s="3"/>
    </row>
    <row r="190" ht="14.25" customHeight="1">
      <c r="E190" s="3"/>
    </row>
    <row r="191" ht="14.25" customHeight="1">
      <c r="E191" s="3"/>
    </row>
    <row r="192" ht="14.25" customHeight="1">
      <c r="E192" s="3"/>
    </row>
    <row r="193" ht="14.25" customHeight="1">
      <c r="E193" s="3"/>
    </row>
    <row r="194" ht="14.25" customHeight="1">
      <c r="E194" s="3"/>
    </row>
    <row r="195" ht="14.25" customHeight="1">
      <c r="E195" s="3"/>
    </row>
    <row r="196" ht="14.25" customHeight="1">
      <c r="E196" s="3"/>
    </row>
    <row r="197" ht="14.25" customHeight="1">
      <c r="E197" s="3"/>
    </row>
    <row r="198" ht="14.25" customHeight="1">
      <c r="E198" s="3"/>
    </row>
    <row r="199" ht="14.25" customHeight="1">
      <c r="E199" s="3"/>
    </row>
    <row r="200" ht="14.25" customHeight="1">
      <c r="E200" s="3"/>
    </row>
    <row r="201" ht="14.25" customHeight="1">
      <c r="E201" s="3"/>
    </row>
    <row r="202" ht="14.25" customHeight="1">
      <c r="E202" s="3"/>
    </row>
    <row r="203" ht="14.25" customHeight="1">
      <c r="E203" s="3"/>
    </row>
    <row r="204" ht="14.25" customHeight="1">
      <c r="E204" s="3"/>
    </row>
    <row r="205" ht="14.25" customHeight="1">
      <c r="E205" s="3"/>
    </row>
    <row r="206" ht="14.25" customHeight="1">
      <c r="E206" s="3"/>
    </row>
    <row r="207" ht="14.25" customHeight="1">
      <c r="E207" s="3"/>
    </row>
    <row r="208" ht="14.25" customHeight="1">
      <c r="E208" s="3"/>
    </row>
    <row r="209" ht="14.25" customHeight="1">
      <c r="E209" s="3"/>
    </row>
    <row r="210" ht="14.25" customHeight="1">
      <c r="E210" s="3"/>
    </row>
    <row r="211" ht="14.25" customHeight="1">
      <c r="E211" s="3"/>
    </row>
    <row r="212" ht="14.25" customHeight="1">
      <c r="E212" s="3"/>
    </row>
    <row r="213" ht="14.25" customHeight="1">
      <c r="E213" s="3"/>
    </row>
    <row r="214" ht="14.25" customHeight="1">
      <c r="E214" s="3"/>
    </row>
    <row r="215" ht="14.25" customHeight="1">
      <c r="E215" s="3"/>
    </row>
    <row r="216" ht="14.25" customHeight="1">
      <c r="E216" s="3"/>
    </row>
    <row r="217" ht="14.25" customHeight="1">
      <c r="E217" s="3"/>
    </row>
    <row r="218" ht="14.25" customHeight="1">
      <c r="E218" s="3"/>
    </row>
    <row r="219" ht="14.25" customHeight="1">
      <c r="E219" s="3"/>
    </row>
    <row r="220" ht="14.25" customHeight="1">
      <c r="E220" s="3"/>
    </row>
    <row r="221" ht="14.25" customHeight="1">
      <c r="E221" s="3"/>
    </row>
    <row r="222" ht="14.25" customHeight="1">
      <c r="E222" s="3"/>
    </row>
    <row r="223" ht="14.25" customHeight="1">
      <c r="E223" s="3"/>
    </row>
    <row r="224" ht="14.25" customHeight="1">
      <c r="E224" s="3"/>
    </row>
    <row r="225" ht="14.25" customHeight="1">
      <c r="E225" s="3"/>
    </row>
    <row r="226" ht="14.25" customHeight="1">
      <c r="E226" s="3"/>
    </row>
    <row r="227" ht="14.25" customHeight="1">
      <c r="E227" s="3"/>
    </row>
    <row r="228" ht="14.25" customHeight="1">
      <c r="E228" s="3"/>
    </row>
    <row r="229" ht="14.25" customHeight="1">
      <c r="E229" s="3"/>
    </row>
    <row r="230" ht="14.25" customHeight="1">
      <c r="E230" s="3"/>
    </row>
    <row r="231" ht="14.25" customHeight="1">
      <c r="E231" s="3"/>
    </row>
    <row r="232" ht="14.25" customHeight="1">
      <c r="E232" s="3"/>
    </row>
    <row r="233" ht="14.25" customHeight="1">
      <c r="E233" s="3"/>
    </row>
    <row r="234" ht="14.25" customHeight="1">
      <c r="E234" s="3"/>
    </row>
    <row r="235" ht="14.25" customHeight="1">
      <c r="E235" s="3"/>
    </row>
    <row r="236" ht="14.25" customHeight="1">
      <c r="E236" s="3"/>
    </row>
    <row r="237" ht="14.25" customHeight="1">
      <c r="E237" s="3"/>
    </row>
    <row r="238" ht="14.25" customHeight="1">
      <c r="E238" s="3"/>
    </row>
    <row r="239" ht="14.25" customHeight="1">
      <c r="E239" s="3"/>
    </row>
    <row r="240" ht="14.25" customHeight="1">
      <c r="E240" s="3"/>
    </row>
    <row r="241" ht="14.25" customHeight="1">
      <c r="E241" s="3"/>
    </row>
    <row r="242" ht="14.25" customHeight="1">
      <c r="E242" s="3"/>
    </row>
    <row r="243" ht="14.25" customHeight="1">
      <c r="E243" s="3"/>
    </row>
    <row r="244" ht="14.25" customHeight="1">
      <c r="E244" s="3"/>
    </row>
    <row r="245" ht="14.25" customHeight="1">
      <c r="E245" s="3"/>
    </row>
    <row r="246" ht="14.25" customHeight="1">
      <c r="E246" s="3"/>
    </row>
    <row r="247" ht="14.25" customHeight="1">
      <c r="E247" s="3"/>
    </row>
    <row r="248" ht="14.25" customHeight="1">
      <c r="E248" s="3"/>
    </row>
    <row r="249" ht="14.25" customHeight="1">
      <c r="E249" s="3"/>
    </row>
    <row r="250" ht="14.25" customHeight="1">
      <c r="E250" s="3"/>
    </row>
    <row r="251" ht="14.25" customHeight="1">
      <c r="E251" s="3"/>
    </row>
    <row r="252" ht="14.25" customHeight="1">
      <c r="E252" s="3"/>
    </row>
    <row r="253" ht="14.25" customHeight="1">
      <c r="E253" s="3"/>
    </row>
    <row r="254" ht="14.25" customHeight="1">
      <c r="E254" s="3"/>
    </row>
    <row r="255" ht="14.25" customHeight="1">
      <c r="E255" s="3"/>
    </row>
    <row r="256" ht="14.25" customHeight="1">
      <c r="E256" s="3"/>
    </row>
    <row r="257" ht="14.25" customHeight="1">
      <c r="E257" s="3"/>
    </row>
    <row r="258" ht="14.25" customHeight="1">
      <c r="E258" s="3"/>
    </row>
    <row r="259" ht="14.25" customHeight="1">
      <c r="E259" s="3"/>
    </row>
    <row r="260" ht="14.25" customHeight="1">
      <c r="E260" s="3"/>
    </row>
    <row r="261" ht="14.25" customHeight="1">
      <c r="E261" s="3"/>
    </row>
    <row r="262" ht="14.25" customHeight="1">
      <c r="E262" s="3"/>
    </row>
    <row r="263" ht="14.25" customHeight="1">
      <c r="E263" s="3"/>
    </row>
    <row r="264" ht="14.25" customHeight="1">
      <c r="E264" s="3"/>
    </row>
    <row r="265" ht="14.25" customHeight="1">
      <c r="E265" s="3"/>
    </row>
    <row r="266" ht="14.25" customHeight="1">
      <c r="E266" s="3"/>
    </row>
    <row r="267" ht="14.25" customHeight="1">
      <c r="E267" s="3"/>
    </row>
    <row r="268" ht="14.25" customHeight="1">
      <c r="E268" s="3"/>
    </row>
    <row r="269" ht="14.25" customHeight="1">
      <c r="E269" s="3"/>
    </row>
    <row r="270" ht="14.25" customHeight="1">
      <c r="E270" s="3"/>
    </row>
    <row r="271" ht="14.25" customHeight="1">
      <c r="E271" s="3"/>
    </row>
    <row r="272" ht="14.25" customHeight="1">
      <c r="E272" s="3"/>
    </row>
    <row r="273" ht="14.25" customHeight="1">
      <c r="E273" s="3"/>
    </row>
    <row r="274" ht="14.25" customHeight="1">
      <c r="E274" s="3"/>
    </row>
    <row r="275" ht="14.25" customHeight="1">
      <c r="E275" s="3"/>
    </row>
    <row r="276" ht="14.25" customHeight="1">
      <c r="E276" s="3"/>
    </row>
    <row r="277" ht="14.25" customHeight="1">
      <c r="E277" s="3"/>
    </row>
    <row r="278" ht="14.25" customHeight="1">
      <c r="E278" s="3"/>
    </row>
    <row r="279" ht="14.25" customHeight="1">
      <c r="E279" s="3"/>
    </row>
    <row r="280" ht="14.25" customHeight="1">
      <c r="E280" s="3"/>
    </row>
    <row r="281" ht="14.25" customHeight="1">
      <c r="E281" s="3"/>
    </row>
    <row r="282" ht="14.25" customHeight="1">
      <c r="E282" s="3"/>
    </row>
    <row r="283" ht="14.25" customHeight="1">
      <c r="E283" s="3"/>
    </row>
    <row r="284" ht="14.25" customHeight="1">
      <c r="E284" s="3"/>
    </row>
    <row r="285" ht="14.25" customHeight="1">
      <c r="E285" s="3"/>
    </row>
    <row r="286" ht="14.25" customHeight="1">
      <c r="E286" s="3"/>
    </row>
    <row r="287" ht="14.25" customHeight="1">
      <c r="E287" s="3"/>
    </row>
    <row r="288" ht="14.25" customHeight="1">
      <c r="E288" s="3"/>
    </row>
    <row r="289" ht="14.25" customHeight="1">
      <c r="E289" s="3"/>
    </row>
    <row r="290" ht="14.25" customHeight="1">
      <c r="E290" s="3"/>
    </row>
    <row r="291" ht="14.25" customHeight="1">
      <c r="E291" s="3"/>
    </row>
    <row r="292" ht="14.25" customHeight="1">
      <c r="E292" s="3"/>
    </row>
    <row r="293" ht="14.25" customHeight="1">
      <c r="E293" s="3"/>
    </row>
    <row r="294" ht="14.25" customHeight="1">
      <c r="E294" s="3"/>
    </row>
    <row r="295" ht="14.25" customHeight="1">
      <c r="E295" s="3"/>
    </row>
    <row r="296" ht="14.25" customHeight="1">
      <c r="E296" s="3"/>
    </row>
    <row r="297" ht="14.25" customHeight="1">
      <c r="E297" s="3"/>
    </row>
    <row r="298" ht="14.25" customHeight="1">
      <c r="E298" s="3"/>
    </row>
    <row r="299" ht="14.25" customHeight="1">
      <c r="E299" s="3"/>
    </row>
    <row r="300" ht="14.25" customHeight="1">
      <c r="E300" s="3"/>
    </row>
    <row r="301" ht="14.25" customHeight="1">
      <c r="E301" s="3"/>
    </row>
    <row r="302" ht="14.25" customHeight="1">
      <c r="E302" s="3"/>
    </row>
    <row r="303" ht="14.25" customHeight="1">
      <c r="E303" s="3"/>
    </row>
    <row r="304" ht="14.25" customHeight="1">
      <c r="E304" s="3"/>
    </row>
    <row r="305" ht="14.25" customHeight="1">
      <c r="E305" s="3"/>
    </row>
    <row r="306" ht="14.25" customHeight="1">
      <c r="E306" s="3"/>
    </row>
    <row r="307" ht="14.25" customHeight="1">
      <c r="E307" s="3"/>
    </row>
    <row r="308" ht="14.25" customHeight="1">
      <c r="E308" s="3"/>
    </row>
    <row r="309" ht="14.25" customHeight="1">
      <c r="E309" s="3"/>
    </row>
    <row r="310" ht="14.25" customHeight="1">
      <c r="E310" s="3"/>
    </row>
    <row r="311" ht="14.25" customHeight="1">
      <c r="E311" s="3"/>
    </row>
    <row r="312" ht="14.25" customHeight="1">
      <c r="E312" s="3"/>
    </row>
    <row r="313" ht="14.25" customHeight="1">
      <c r="E313" s="3"/>
    </row>
    <row r="314" ht="14.25" customHeight="1">
      <c r="E314" s="3"/>
    </row>
    <row r="315" ht="14.25" customHeight="1">
      <c r="E315" s="3"/>
    </row>
    <row r="316" ht="14.25" customHeight="1">
      <c r="E316" s="3"/>
    </row>
    <row r="317" ht="14.25" customHeight="1">
      <c r="E317" s="3"/>
    </row>
    <row r="318" ht="14.25" customHeight="1">
      <c r="E318" s="3"/>
    </row>
    <row r="319" ht="14.25" customHeight="1">
      <c r="E319" s="3"/>
    </row>
    <row r="320" ht="14.25" customHeight="1">
      <c r="E320" s="3"/>
    </row>
    <row r="321" ht="14.25" customHeight="1">
      <c r="E321" s="3"/>
    </row>
    <row r="322" ht="14.25" customHeight="1">
      <c r="E322" s="3"/>
    </row>
    <row r="323" ht="14.25" customHeight="1">
      <c r="E323" s="3"/>
    </row>
    <row r="324" ht="14.25" customHeight="1">
      <c r="E324" s="3"/>
    </row>
    <row r="325" ht="14.25" customHeight="1">
      <c r="E325" s="3"/>
    </row>
    <row r="326" ht="14.25" customHeight="1">
      <c r="E326" s="3"/>
    </row>
    <row r="327" ht="14.25" customHeight="1">
      <c r="E327" s="3"/>
    </row>
    <row r="328" ht="14.25" customHeight="1">
      <c r="E328" s="3"/>
    </row>
    <row r="329" ht="14.25" customHeight="1">
      <c r="E329" s="3"/>
    </row>
    <row r="330" ht="14.25" customHeight="1">
      <c r="E330" s="3"/>
    </row>
    <row r="331" ht="14.25" customHeight="1">
      <c r="E331" s="3"/>
    </row>
    <row r="332" ht="14.25" customHeight="1">
      <c r="E332" s="3"/>
    </row>
    <row r="333" ht="14.25" customHeight="1">
      <c r="E333" s="3"/>
    </row>
    <row r="334" ht="14.25" customHeight="1">
      <c r="E334" s="3"/>
    </row>
    <row r="335" ht="14.25" customHeight="1">
      <c r="E335" s="3"/>
    </row>
    <row r="336" ht="14.25" customHeight="1">
      <c r="E336" s="3"/>
    </row>
    <row r="337" ht="14.25" customHeight="1">
      <c r="E337" s="3"/>
    </row>
    <row r="338" ht="14.25" customHeight="1">
      <c r="E338" s="3"/>
    </row>
    <row r="339" ht="14.25" customHeight="1">
      <c r="E339" s="3"/>
    </row>
    <row r="340" ht="14.25" customHeight="1">
      <c r="E340" s="3"/>
    </row>
    <row r="341" ht="14.25" customHeight="1">
      <c r="E341" s="3"/>
    </row>
    <row r="342" ht="14.25" customHeight="1">
      <c r="E342" s="3"/>
    </row>
    <row r="343" ht="14.25" customHeight="1">
      <c r="E343" s="3"/>
    </row>
    <row r="344" ht="14.25" customHeight="1">
      <c r="E344" s="3"/>
    </row>
    <row r="345" ht="14.25" customHeight="1">
      <c r="E345" s="3"/>
    </row>
    <row r="346" ht="14.25" customHeight="1">
      <c r="E346" s="3"/>
    </row>
    <row r="347" ht="14.25" customHeight="1">
      <c r="E347" s="3"/>
    </row>
    <row r="348" ht="14.25" customHeight="1">
      <c r="E348" s="3"/>
    </row>
    <row r="349" ht="14.25" customHeight="1">
      <c r="E349" s="3"/>
    </row>
    <row r="350" ht="14.25" customHeight="1">
      <c r="E350" s="3"/>
    </row>
    <row r="351" ht="14.25" customHeight="1">
      <c r="E351" s="3"/>
    </row>
    <row r="352" ht="14.25" customHeight="1">
      <c r="E352" s="3"/>
    </row>
    <row r="353" ht="14.25" customHeight="1">
      <c r="E353" s="3"/>
    </row>
    <row r="354" ht="14.25" customHeight="1">
      <c r="E354" s="3"/>
    </row>
    <row r="355" ht="14.25" customHeight="1">
      <c r="E355" s="3"/>
    </row>
    <row r="356" ht="14.25" customHeight="1">
      <c r="E356" s="3"/>
    </row>
    <row r="357" ht="14.25" customHeight="1">
      <c r="E357" s="3"/>
    </row>
    <row r="358" ht="14.25" customHeight="1">
      <c r="E358" s="3"/>
    </row>
    <row r="359" ht="14.25" customHeight="1">
      <c r="E359" s="3"/>
    </row>
    <row r="360" ht="14.25" customHeight="1">
      <c r="E360" s="3"/>
    </row>
    <row r="361" ht="14.25" customHeight="1">
      <c r="E361" s="3"/>
    </row>
    <row r="362" ht="14.25" customHeight="1">
      <c r="E362" s="3"/>
    </row>
    <row r="363" ht="14.25" customHeight="1">
      <c r="E363" s="3"/>
    </row>
    <row r="364" ht="14.25" customHeight="1">
      <c r="E364" s="3"/>
    </row>
    <row r="365" ht="14.25" customHeight="1">
      <c r="E365" s="3"/>
    </row>
    <row r="366" ht="14.25" customHeight="1">
      <c r="E366" s="3"/>
    </row>
    <row r="367" ht="14.25" customHeight="1">
      <c r="E367" s="3"/>
    </row>
    <row r="368" ht="14.25" customHeight="1">
      <c r="E368" s="3"/>
    </row>
    <row r="369" ht="14.25" customHeight="1">
      <c r="E369" s="3"/>
    </row>
    <row r="370" ht="14.25" customHeight="1">
      <c r="E370" s="3"/>
    </row>
    <row r="371" ht="14.25" customHeight="1">
      <c r="E371" s="3"/>
    </row>
    <row r="372" ht="14.25" customHeight="1">
      <c r="E372" s="3"/>
    </row>
    <row r="373" ht="14.25" customHeight="1">
      <c r="E373" s="3"/>
    </row>
    <row r="374" ht="14.25" customHeight="1">
      <c r="E374" s="3"/>
    </row>
    <row r="375" ht="14.25" customHeight="1">
      <c r="E375" s="3"/>
    </row>
    <row r="376" ht="14.25" customHeight="1">
      <c r="E376" s="3"/>
    </row>
    <row r="377" ht="14.25" customHeight="1">
      <c r="E377" s="3"/>
    </row>
    <row r="378" ht="14.25" customHeight="1">
      <c r="E378" s="3"/>
    </row>
    <row r="379" ht="14.25" customHeight="1">
      <c r="E379" s="3"/>
    </row>
    <row r="380" ht="14.25" customHeight="1">
      <c r="E380" s="3"/>
    </row>
    <row r="381" ht="14.25" customHeight="1">
      <c r="E381" s="3"/>
    </row>
    <row r="382" ht="14.25" customHeight="1">
      <c r="E382" s="3"/>
    </row>
    <row r="383" ht="14.25" customHeight="1">
      <c r="E383" s="3"/>
    </row>
    <row r="384" ht="14.25" customHeight="1">
      <c r="E384" s="3"/>
    </row>
    <row r="385" ht="14.25" customHeight="1">
      <c r="E385" s="3"/>
    </row>
    <row r="386" ht="14.25" customHeight="1">
      <c r="E386" s="3"/>
    </row>
    <row r="387" ht="14.25" customHeight="1">
      <c r="E387" s="3"/>
    </row>
    <row r="388" ht="14.25" customHeight="1">
      <c r="E388" s="3"/>
    </row>
    <row r="389" ht="14.25" customHeight="1">
      <c r="E389" s="3"/>
    </row>
    <row r="390" ht="14.25" customHeight="1">
      <c r="E390" s="3"/>
    </row>
    <row r="391" ht="14.25" customHeight="1">
      <c r="E391" s="3"/>
    </row>
    <row r="392" ht="14.25" customHeight="1">
      <c r="E392" s="3"/>
    </row>
    <row r="393" ht="14.25" customHeight="1">
      <c r="E393" s="3"/>
    </row>
    <row r="394" ht="14.25" customHeight="1">
      <c r="E394" s="3"/>
    </row>
    <row r="395" ht="14.25" customHeight="1">
      <c r="E395" s="3"/>
    </row>
    <row r="396" ht="14.25" customHeight="1">
      <c r="E396" s="3"/>
    </row>
    <row r="397" ht="14.25" customHeight="1">
      <c r="E397" s="3"/>
    </row>
    <row r="398" ht="14.25" customHeight="1">
      <c r="E398" s="3"/>
    </row>
    <row r="399" ht="14.25" customHeight="1">
      <c r="E399" s="3"/>
    </row>
    <row r="400" ht="14.25" customHeight="1">
      <c r="E400" s="3"/>
    </row>
    <row r="401" ht="14.25" customHeight="1">
      <c r="E401" s="3"/>
    </row>
    <row r="402" ht="14.25" customHeight="1">
      <c r="E402" s="3"/>
    </row>
    <row r="403" ht="14.25" customHeight="1">
      <c r="E403" s="3"/>
    </row>
    <row r="404" ht="14.25" customHeight="1">
      <c r="E404" s="3"/>
    </row>
    <row r="405" ht="14.25" customHeight="1">
      <c r="E405" s="3"/>
    </row>
    <row r="406" ht="14.25" customHeight="1">
      <c r="E406" s="3"/>
    </row>
    <row r="407" ht="14.25" customHeight="1">
      <c r="E407" s="3"/>
    </row>
    <row r="408" ht="14.25" customHeight="1">
      <c r="E408" s="3"/>
    </row>
    <row r="409" ht="14.25" customHeight="1">
      <c r="E409" s="3"/>
    </row>
    <row r="410" ht="14.25" customHeight="1">
      <c r="E410" s="3"/>
    </row>
    <row r="411" ht="14.25" customHeight="1">
      <c r="E411" s="3"/>
    </row>
    <row r="412" ht="14.25" customHeight="1">
      <c r="E412" s="3"/>
    </row>
    <row r="413" ht="14.25" customHeight="1">
      <c r="E413" s="3"/>
    </row>
    <row r="414" ht="14.25" customHeight="1">
      <c r="E414" s="3"/>
    </row>
    <row r="415" ht="14.25" customHeight="1">
      <c r="E415" s="3"/>
    </row>
    <row r="416" ht="14.25" customHeight="1">
      <c r="E416" s="3"/>
    </row>
    <row r="417" ht="14.25" customHeight="1">
      <c r="E417" s="3"/>
    </row>
    <row r="418" ht="14.25" customHeight="1">
      <c r="E418" s="3"/>
    </row>
    <row r="419" ht="14.25" customHeight="1">
      <c r="E419" s="3"/>
    </row>
    <row r="420" ht="14.25" customHeight="1">
      <c r="E420" s="3"/>
    </row>
    <row r="421" ht="14.25" customHeight="1">
      <c r="E421" s="3"/>
    </row>
    <row r="422" ht="14.25" customHeight="1">
      <c r="E422" s="3"/>
    </row>
    <row r="423" ht="14.25" customHeight="1">
      <c r="E423" s="3"/>
    </row>
    <row r="424" ht="14.25" customHeight="1">
      <c r="E424" s="3"/>
    </row>
    <row r="425" ht="14.25" customHeight="1">
      <c r="E425" s="3"/>
    </row>
    <row r="426" ht="14.25" customHeight="1">
      <c r="E426" s="3"/>
    </row>
    <row r="427" ht="14.25" customHeight="1">
      <c r="E427" s="3"/>
    </row>
    <row r="428" ht="14.25" customHeight="1">
      <c r="E428" s="3"/>
    </row>
    <row r="429" ht="14.25" customHeight="1">
      <c r="E429" s="3"/>
    </row>
    <row r="430" ht="14.25" customHeight="1">
      <c r="E430" s="3"/>
    </row>
    <row r="431" ht="14.25" customHeight="1">
      <c r="E431" s="3"/>
    </row>
    <row r="432" ht="14.25" customHeight="1">
      <c r="E432" s="3"/>
    </row>
    <row r="433" ht="14.25" customHeight="1">
      <c r="E433" s="3"/>
    </row>
    <row r="434" ht="14.25" customHeight="1">
      <c r="E434" s="3"/>
    </row>
    <row r="435" ht="14.25" customHeight="1">
      <c r="E435" s="3"/>
    </row>
    <row r="436" ht="14.25" customHeight="1">
      <c r="E436" s="3"/>
    </row>
    <row r="437" ht="14.25" customHeight="1">
      <c r="E437" s="3"/>
    </row>
    <row r="438" ht="14.25" customHeight="1">
      <c r="E438" s="3"/>
    </row>
    <row r="439" ht="14.25" customHeight="1">
      <c r="E439" s="3"/>
    </row>
    <row r="440" ht="14.25" customHeight="1">
      <c r="E440" s="3"/>
    </row>
    <row r="441" ht="14.25" customHeight="1">
      <c r="E441" s="3"/>
    </row>
    <row r="442" ht="14.25" customHeight="1">
      <c r="E442" s="3"/>
    </row>
    <row r="443" ht="14.25" customHeight="1">
      <c r="E443" s="3"/>
    </row>
    <row r="444" ht="14.25" customHeight="1">
      <c r="E444" s="3"/>
    </row>
    <row r="445" ht="14.25" customHeight="1">
      <c r="E445" s="3"/>
    </row>
    <row r="446" ht="14.25" customHeight="1">
      <c r="E446" s="3"/>
    </row>
    <row r="447" ht="14.25" customHeight="1">
      <c r="E447" s="3"/>
    </row>
    <row r="448" ht="14.25" customHeight="1">
      <c r="E448" s="3"/>
    </row>
    <row r="449" ht="14.25" customHeight="1">
      <c r="E449" s="3"/>
    </row>
    <row r="450" ht="14.25" customHeight="1">
      <c r="E450" s="3"/>
    </row>
    <row r="451" ht="14.25" customHeight="1">
      <c r="E451" s="3"/>
    </row>
    <row r="452" ht="14.25" customHeight="1">
      <c r="E452" s="3"/>
    </row>
    <row r="453" ht="14.25" customHeight="1">
      <c r="E453" s="3"/>
    </row>
    <row r="454" ht="14.25" customHeight="1">
      <c r="E454" s="3"/>
    </row>
    <row r="455" ht="14.25" customHeight="1">
      <c r="E455" s="3"/>
    </row>
    <row r="456" ht="14.25" customHeight="1">
      <c r="E456" s="3"/>
    </row>
    <row r="457" ht="14.25" customHeight="1">
      <c r="E457" s="3"/>
    </row>
    <row r="458" ht="14.25" customHeight="1">
      <c r="E458" s="3"/>
    </row>
    <row r="459" ht="14.25" customHeight="1">
      <c r="E459" s="3"/>
    </row>
    <row r="460" ht="14.25" customHeight="1">
      <c r="E460" s="3"/>
    </row>
    <row r="461" ht="14.25" customHeight="1">
      <c r="E461" s="3"/>
    </row>
    <row r="462" ht="14.25" customHeight="1">
      <c r="E462" s="3"/>
    </row>
    <row r="463" ht="14.25" customHeight="1">
      <c r="E463" s="3"/>
    </row>
    <row r="464" ht="14.25" customHeight="1">
      <c r="E464" s="3"/>
    </row>
    <row r="465" ht="14.25" customHeight="1">
      <c r="E465" s="3"/>
    </row>
    <row r="466" ht="14.25" customHeight="1">
      <c r="E466" s="3"/>
    </row>
    <row r="467" ht="14.25" customHeight="1">
      <c r="E467" s="3"/>
    </row>
    <row r="468" ht="14.25" customHeight="1">
      <c r="E468" s="3"/>
    </row>
    <row r="469" ht="14.25" customHeight="1">
      <c r="E469" s="3"/>
    </row>
    <row r="470" ht="14.25" customHeight="1">
      <c r="E470" s="3"/>
    </row>
    <row r="471" ht="14.25" customHeight="1">
      <c r="E471" s="3"/>
    </row>
    <row r="472" ht="14.25" customHeight="1">
      <c r="E472" s="3"/>
    </row>
    <row r="473" ht="14.25" customHeight="1">
      <c r="E473" s="3"/>
    </row>
    <row r="474" ht="14.25" customHeight="1">
      <c r="E474" s="3"/>
    </row>
    <row r="475" ht="14.25" customHeight="1">
      <c r="E475" s="3"/>
    </row>
    <row r="476" ht="14.25" customHeight="1">
      <c r="E476" s="3"/>
    </row>
    <row r="477" ht="14.25" customHeight="1">
      <c r="E477" s="3"/>
    </row>
    <row r="478" ht="14.25" customHeight="1">
      <c r="E478" s="3"/>
    </row>
    <row r="479" ht="14.25" customHeight="1">
      <c r="E479" s="3"/>
    </row>
    <row r="480" ht="14.25" customHeight="1">
      <c r="E480" s="3"/>
    </row>
    <row r="481" ht="14.25" customHeight="1">
      <c r="E481" s="3"/>
    </row>
    <row r="482" ht="14.25" customHeight="1">
      <c r="E482" s="3"/>
    </row>
    <row r="483" ht="14.25" customHeight="1">
      <c r="E483" s="3"/>
    </row>
    <row r="484" ht="14.25" customHeight="1">
      <c r="E484" s="3"/>
    </row>
    <row r="485" ht="14.25" customHeight="1">
      <c r="E485" s="3"/>
    </row>
    <row r="486" ht="14.25" customHeight="1">
      <c r="E486" s="3"/>
    </row>
    <row r="487" ht="14.25" customHeight="1">
      <c r="E487" s="3"/>
    </row>
    <row r="488" ht="14.25" customHeight="1">
      <c r="E488" s="3"/>
    </row>
    <row r="489" ht="14.25" customHeight="1">
      <c r="E489" s="3"/>
    </row>
    <row r="490" ht="14.25" customHeight="1">
      <c r="E490" s="3"/>
    </row>
    <row r="491" ht="14.25" customHeight="1">
      <c r="E491" s="3"/>
    </row>
    <row r="492" ht="14.25" customHeight="1">
      <c r="E492" s="3"/>
    </row>
    <row r="493" ht="14.25" customHeight="1">
      <c r="E493" s="3"/>
    </row>
    <row r="494" ht="14.25" customHeight="1">
      <c r="E494" s="3"/>
    </row>
    <row r="495" ht="14.25" customHeight="1">
      <c r="E495" s="3"/>
    </row>
    <row r="496" ht="14.25" customHeight="1">
      <c r="E496" s="3"/>
    </row>
    <row r="497" ht="14.25" customHeight="1">
      <c r="E497" s="3"/>
    </row>
    <row r="498" ht="14.25" customHeight="1">
      <c r="E498" s="3"/>
    </row>
    <row r="499" ht="14.25" customHeight="1">
      <c r="E499" s="3"/>
    </row>
    <row r="500" ht="14.25" customHeight="1">
      <c r="E500" s="3"/>
    </row>
    <row r="501" ht="14.25" customHeight="1">
      <c r="E501" s="3"/>
    </row>
    <row r="502" ht="14.25" customHeight="1">
      <c r="E502" s="3"/>
    </row>
    <row r="503" ht="14.25" customHeight="1">
      <c r="E503" s="3"/>
    </row>
    <row r="504" ht="14.25" customHeight="1">
      <c r="E504" s="3"/>
    </row>
    <row r="505" ht="14.25" customHeight="1">
      <c r="E505" s="3"/>
    </row>
    <row r="506" ht="14.25" customHeight="1">
      <c r="E506" s="3"/>
    </row>
    <row r="507" ht="14.25" customHeight="1">
      <c r="E507" s="3"/>
    </row>
    <row r="508" ht="14.25" customHeight="1">
      <c r="E508" s="3"/>
    </row>
    <row r="509" ht="14.25" customHeight="1">
      <c r="E509" s="3"/>
    </row>
    <row r="510" ht="14.25" customHeight="1">
      <c r="E510" s="3"/>
    </row>
    <row r="511" ht="14.25" customHeight="1">
      <c r="E511" s="3"/>
    </row>
    <row r="512" ht="14.25" customHeight="1">
      <c r="E512" s="3"/>
    </row>
    <row r="513" ht="14.25" customHeight="1">
      <c r="E513" s="3"/>
    </row>
    <row r="514" ht="14.25" customHeight="1">
      <c r="E514" s="3"/>
    </row>
    <row r="515" ht="14.25" customHeight="1">
      <c r="E515" s="3"/>
    </row>
    <row r="516" ht="14.25" customHeight="1">
      <c r="E516" s="3"/>
    </row>
    <row r="517" ht="14.25" customHeight="1">
      <c r="E517" s="3"/>
    </row>
    <row r="518" ht="14.25" customHeight="1">
      <c r="E518" s="3"/>
    </row>
    <row r="519" ht="14.25" customHeight="1">
      <c r="E519" s="3"/>
    </row>
    <row r="520" ht="14.25" customHeight="1">
      <c r="E520" s="3"/>
    </row>
    <row r="521" ht="14.25" customHeight="1">
      <c r="E521" s="3"/>
    </row>
    <row r="522" ht="14.25" customHeight="1">
      <c r="E522" s="3"/>
    </row>
    <row r="523" ht="14.25" customHeight="1">
      <c r="E523" s="3"/>
    </row>
    <row r="524" ht="14.25" customHeight="1">
      <c r="E524" s="3"/>
    </row>
    <row r="525" ht="14.25" customHeight="1">
      <c r="E525" s="3"/>
    </row>
    <row r="526" ht="14.25" customHeight="1">
      <c r="E526" s="3"/>
    </row>
    <row r="527" ht="14.25" customHeight="1">
      <c r="E527" s="3"/>
    </row>
    <row r="528" ht="14.25" customHeight="1">
      <c r="E528" s="3"/>
    </row>
    <row r="529" ht="14.25" customHeight="1">
      <c r="E529" s="3"/>
    </row>
    <row r="530" ht="14.25" customHeight="1">
      <c r="E530" s="3"/>
    </row>
    <row r="531" ht="14.25" customHeight="1">
      <c r="E531" s="3"/>
    </row>
    <row r="532" ht="14.25" customHeight="1">
      <c r="E532" s="3"/>
    </row>
    <row r="533" ht="14.25" customHeight="1">
      <c r="E533" s="3"/>
    </row>
    <row r="534" ht="14.25" customHeight="1">
      <c r="E534" s="3"/>
    </row>
    <row r="535" ht="14.25" customHeight="1">
      <c r="E535" s="3"/>
    </row>
    <row r="536" ht="14.25" customHeight="1">
      <c r="E536" s="3"/>
    </row>
    <row r="537" ht="14.25" customHeight="1">
      <c r="E537" s="3"/>
    </row>
    <row r="538" ht="14.25" customHeight="1">
      <c r="E538" s="3"/>
    </row>
    <row r="539" ht="14.25" customHeight="1">
      <c r="E539" s="3"/>
    </row>
    <row r="540" ht="14.25" customHeight="1">
      <c r="E540" s="3"/>
    </row>
    <row r="541" ht="14.25" customHeight="1">
      <c r="E541" s="3"/>
    </row>
    <row r="542" ht="14.25" customHeight="1">
      <c r="E542" s="3"/>
    </row>
    <row r="543" ht="14.25" customHeight="1">
      <c r="E543" s="3"/>
    </row>
    <row r="544" ht="14.25" customHeight="1">
      <c r="E544" s="3"/>
    </row>
    <row r="545" ht="14.25" customHeight="1">
      <c r="E545" s="3"/>
    </row>
    <row r="546" ht="14.25" customHeight="1">
      <c r="E546" s="3"/>
    </row>
    <row r="547" ht="14.25" customHeight="1">
      <c r="E547" s="3"/>
    </row>
    <row r="548" ht="14.25" customHeight="1">
      <c r="E548" s="3"/>
    </row>
    <row r="549" ht="14.25" customHeight="1">
      <c r="E549" s="3"/>
    </row>
    <row r="550" ht="14.25" customHeight="1">
      <c r="E550" s="3"/>
    </row>
    <row r="551" ht="14.25" customHeight="1">
      <c r="E551" s="3"/>
    </row>
    <row r="552" ht="14.25" customHeight="1">
      <c r="E552" s="3"/>
    </row>
    <row r="553" ht="14.25" customHeight="1">
      <c r="E553" s="3"/>
    </row>
    <row r="554" ht="14.25" customHeight="1">
      <c r="E554" s="3"/>
    </row>
    <row r="555" ht="14.25" customHeight="1">
      <c r="E555" s="3"/>
    </row>
    <row r="556" ht="14.25" customHeight="1">
      <c r="E556" s="3"/>
    </row>
    <row r="557" ht="14.25" customHeight="1">
      <c r="E557" s="3"/>
    </row>
    <row r="558" ht="14.25" customHeight="1">
      <c r="E558" s="3"/>
    </row>
    <row r="559" ht="14.25" customHeight="1">
      <c r="E559" s="3"/>
    </row>
    <row r="560" ht="14.25" customHeight="1">
      <c r="E560" s="3"/>
    </row>
    <row r="561" ht="14.25" customHeight="1">
      <c r="E561" s="3"/>
    </row>
    <row r="562" ht="14.25" customHeight="1">
      <c r="E562" s="3"/>
    </row>
    <row r="563" ht="14.25" customHeight="1">
      <c r="E563" s="3"/>
    </row>
    <row r="564" ht="14.25" customHeight="1">
      <c r="E564" s="3"/>
    </row>
    <row r="565" ht="14.25" customHeight="1">
      <c r="E565" s="3"/>
    </row>
    <row r="566" ht="14.25" customHeight="1">
      <c r="E566" s="3"/>
    </row>
    <row r="567" ht="14.25" customHeight="1">
      <c r="E567" s="3"/>
    </row>
    <row r="568" ht="14.25" customHeight="1">
      <c r="E568" s="3"/>
    </row>
    <row r="569" ht="14.25" customHeight="1">
      <c r="E569" s="3"/>
    </row>
    <row r="570" ht="14.25" customHeight="1">
      <c r="E570" s="3"/>
    </row>
    <row r="571" ht="14.25" customHeight="1">
      <c r="E571" s="3"/>
    </row>
    <row r="572" ht="14.25" customHeight="1">
      <c r="E572" s="3"/>
    </row>
    <row r="573" ht="14.25" customHeight="1">
      <c r="E573" s="3"/>
    </row>
    <row r="574" ht="14.25" customHeight="1">
      <c r="E574" s="3"/>
    </row>
    <row r="575" ht="14.25" customHeight="1">
      <c r="E575" s="3"/>
    </row>
    <row r="576" ht="14.25" customHeight="1">
      <c r="E576" s="3"/>
    </row>
    <row r="577" ht="14.25" customHeight="1">
      <c r="E577" s="3"/>
    </row>
    <row r="578" ht="14.25" customHeight="1">
      <c r="E578" s="3"/>
    </row>
    <row r="579" ht="14.25" customHeight="1">
      <c r="E579" s="3"/>
    </row>
    <row r="580" ht="14.25" customHeight="1">
      <c r="E580" s="3"/>
    </row>
    <row r="581" ht="14.25" customHeight="1">
      <c r="E581" s="3"/>
    </row>
    <row r="582" ht="14.25" customHeight="1">
      <c r="E582" s="3"/>
    </row>
    <row r="583" ht="14.25" customHeight="1">
      <c r="E583" s="3"/>
    </row>
    <row r="584" ht="14.25" customHeight="1">
      <c r="E584" s="3"/>
    </row>
    <row r="585" ht="14.25" customHeight="1">
      <c r="E585" s="3"/>
    </row>
    <row r="586" ht="14.25" customHeight="1">
      <c r="E586" s="3"/>
    </row>
    <row r="587" ht="14.25" customHeight="1">
      <c r="E587" s="3"/>
    </row>
    <row r="588" ht="14.25" customHeight="1">
      <c r="E588" s="3"/>
    </row>
    <row r="589" ht="14.25" customHeight="1">
      <c r="E589" s="3"/>
    </row>
    <row r="590" ht="14.25" customHeight="1">
      <c r="E590" s="3"/>
    </row>
    <row r="591" ht="14.25" customHeight="1">
      <c r="E591" s="3"/>
    </row>
    <row r="592" ht="14.25" customHeight="1">
      <c r="E592" s="3"/>
    </row>
    <row r="593" ht="14.25" customHeight="1">
      <c r="E593" s="3"/>
    </row>
    <row r="594" ht="14.25" customHeight="1">
      <c r="E594" s="3"/>
    </row>
    <row r="595" ht="14.25" customHeight="1">
      <c r="E595" s="3"/>
    </row>
    <row r="596" ht="14.25" customHeight="1">
      <c r="E596" s="3"/>
    </row>
    <row r="597" ht="14.25" customHeight="1">
      <c r="E597" s="3"/>
    </row>
    <row r="598" ht="14.25" customHeight="1">
      <c r="E598" s="3"/>
    </row>
    <row r="599" ht="14.25" customHeight="1">
      <c r="E599" s="3"/>
    </row>
    <row r="600" ht="14.25" customHeight="1">
      <c r="E600" s="3"/>
    </row>
    <row r="601" ht="14.25" customHeight="1">
      <c r="E601" s="3"/>
    </row>
    <row r="602" ht="14.25" customHeight="1">
      <c r="E602" s="3"/>
    </row>
    <row r="603" ht="14.25" customHeight="1">
      <c r="E603" s="3"/>
    </row>
    <row r="604" ht="14.25" customHeight="1">
      <c r="E604" s="3"/>
    </row>
    <row r="605" ht="14.25" customHeight="1">
      <c r="E605" s="3"/>
    </row>
    <row r="606" ht="14.25" customHeight="1">
      <c r="E606" s="3"/>
    </row>
    <row r="607" ht="14.25" customHeight="1">
      <c r="E607" s="3"/>
    </row>
    <row r="608" ht="14.25" customHeight="1">
      <c r="E608" s="3"/>
    </row>
    <row r="609" ht="14.25" customHeight="1">
      <c r="E609" s="3"/>
    </row>
    <row r="610" ht="14.25" customHeight="1">
      <c r="E610" s="3"/>
    </row>
    <row r="611" ht="14.25" customHeight="1">
      <c r="E611" s="3"/>
    </row>
    <row r="612" ht="14.25" customHeight="1">
      <c r="E612" s="3"/>
    </row>
    <row r="613" ht="14.25" customHeight="1">
      <c r="E613" s="3"/>
    </row>
    <row r="614" ht="14.25" customHeight="1">
      <c r="E614" s="3"/>
    </row>
    <row r="615" ht="14.25" customHeight="1">
      <c r="E615" s="3"/>
    </row>
    <row r="616" ht="14.25" customHeight="1">
      <c r="E616" s="3"/>
    </row>
    <row r="617" ht="14.25" customHeight="1">
      <c r="E617" s="3"/>
    </row>
    <row r="618" ht="14.25" customHeight="1">
      <c r="E618" s="3"/>
    </row>
    <row r="619" ht="14.25" customHeight="1">
      <c r="E619" s="3"/>
    </row>
    <row r="620" ht="14.25" customHeight="1">
      <c r="E620" s="3"/>
    </row>
    <row r="621" ht="14.25" customHeight="1">
      <c r="E621" s="3"/>
    </row>
    <row r="622" ht="14.25" customHeight="1">
      <c r="E622" s="3"/>
    </row>
    <row r="623" ht="14.25" customHeight="1">
      <c r="E623" s="3"/>
    </row>
    <row r="624" ht="14.25" customHeight="1">
      <c r="E624" s="3"/>
    </row>
    <row r="625" ht="14.25" customHeight="1">
      <c r="E625" s="3"/>
    </row>
    <row r="626" ht="14.25" customHeight="1">
      <c r="E626" s="3"/>
    </row>
    <row r="627" ht="14.25" customHeight="1">
      <c r="E627" s="3"/>
    </row>
    <row r="628" ht="14.25" customHeight="1">
      <c r="E628" s="3"/>
    </row>
    <row r="629" ht="14.25" customHeight="1">
      <c r="E629" s="3"/>
    </row>
    <row r="630" ht="14.25" customHeight="1">
      <c r="E630" s="3"/>
    </row>
    <row r="631" ht="14.25" customHeight="1">
      <c r="E631" s="3"/>
    </row>
    <row r="632" ht="14.25" customHeight="1">
      <c r="E632" s="3"/>
    </row>
    <row r="633" ht="14.25" customHeight="1">
      <c r="E633" s="3"/>
    </row>
    <row r="634" ht="14.25" customHeight="1">
      <c r="E634" s="3"/>
    </row>
    <row r="635" ht="14.25" customHeight="1">
      <c r="E635" s="3"/>
    </row>
    <row r="636" ht="14.25" customHeight="1">
      <c r="E636" s="3"/>
    </row>
    <row r="637" ht="14.25" customHeight="1">
      <c r="E637" s="3"/>
    </row>
    <row r="638" ht="14.25" customHeight="1">
      <c r="E638" s="3"/>
    </row>
    <row r="639" ht="14.25" customHeight="1">
      <c r="E639" s="3"/>
    </row>
    <row r="640" ht="14.25" customHeight="1">
      <c r="E640" s="3"/>
    </row>
    <row r="641" ht="14.25" customHeight="1">
      <c r="E641" s="3"/>
    </row>
    <row r="642" ht="14.25" customHeight="1">
      <c r="E642" s="3"/>
    </row>
    <row r="643" ht="14.25" customHeight="1">
      <c r="E643" s="3"/>
    </row>
    <row r="644" ht="14.25" customHeight="1">
      <c r="E644" s="3"/>
    </row>
    <row r="645" ht="14.25" customHeight="1">
      <c r="E645" s="3"/>
    </row>
    <row r="646" ht="14.25" customHeight="1">
      <c r="E646" s="3"/>
    </row>
    <row r="647" ht="14.25" customHeight="1">
      <c r="E647" s="3"/>
    </row>
    <row r="648" ht="14.25" customHeight="1">
      <c r="E648" s="3"/>
    </row>
    <row r="649" ht="14.25" customHeight="1">
      <c r="E649" s="3"/>
    </row>
    <row r="650" ht="14.25" customHeight="1">
      <c r="E650" s="3"/>
    </row>
    <row r="651" ht="14.25" customHeight="1">
      <c r="E651" s="3"/>
    </row>
    <row r="652" ht="14.25" customHeight="1">
      <c r="E652" s="3"/>
    </row>
    <row r="653" ht="14.25" customHeight="1">
      <c r="E653" s="3"/>
    </row>
    <row r="654" ht="14.25" customHeight="1">
      <c r="E654" s="3"/>
    </row>
    <row r="655" ht="14.25" customHeight="1">
      <c r="E655" s="3"/>
    </row>
    <row r="656" ht="14.25" customHeight="1">
      <c r="E656" s="3"/>
    </row>
    <row r="657" ht="14.25" customHeight="1">
      <c r="E657" s="3"/>
    </row>
    <row r="658" ht="14.25" customHeight="1">
      <c r="E658" s="3"/>
    </row>
    <row r="659" ht="14.25" customHeight="1">
      <c r="E659" s="3"/>
    </row>
    <row r="660" ht="14.25" customHeight="1">
      <c r="E660" s="3"/>
    </row>
    <row r="661" ht="14.25" customHeight="1">
      <c r="E661" s="3"/>
    </row>
    <row r="662" ht="14.25" customHeight="1">
      <c r="E662" s="3"/>
    </row>
    <row r="663" ht="14.25" customHeight="1">
      <c r="E663" s="3"/>
    </row>
    <row r="664" ht="14.25" customHeight="1">
      <c r="E664" s="3"/>
    </row>
    <row r="665" ht="14.25" customHeight="1">
      <c r="E665" s="3"/>
    </row>
    <row r="666" ht="14.25" customHeight="1">
      <c r="E666" s="3"/>
    </row>
    <row r="667" ht="14.25" customHeight="1">
      <c r="E667" s="3"/>
    </row>
    <row r="668" ht="14.25" customHeight="1">
      <c r="E668" s="3"/>
    </row>
    <row r="669" ht="14.25" customHeight="1">
      <c r="E669" s="3"/>
    </row>
    <row r="670" ht="14.25" customHeight="1">
      <c r="E670" s="3"/>
    </row>
    <row r="671" ht="14.25" customHeight="1">
      <c r="E671" s="3"/>
    </row>
    <row r="672" ht="14.25" customHeight="1">
      <c r="E672" s="3"/>
    </row>
    <row r="673" ht="14.25" customHeight="1">
      <c r="E673" s="3"/>
    </row>
    <row r="674" ht="14.25" customHeight="1">
      <c r="E674" s="3"/>
    </row>
    <row r="675" ht="14.25" customHeight="1">
      <c r="E675" s="3"/>
    </row>
    <row r="676" ht="14.25" customHeight="1">
      <c r="E676" s="3"/>
    </row>
    <row r="677" ht="14.25" customHeight="1">
      <c r="E677" s="3"/>
    </row>
    <row r="678" ht="14.25" customHeight="1">
      <c r="E678" s="3"/>
    </row>
    <row r="679" ht="14.25" customHeight="1">
      <c r="E679" s="3"/>
    </row>
    <row r="680" ht="14.25" customHeight="1">
      <c r="E680" s="3"/>
    </row>
    <row r="681" ht="14.25" customHeight="1">
      <c r="E681" s="3"/>
    </row>
    <row r="682" ht="14.25" customHeight="1">
      <c r="E682" s="3"/>
    </row>
    <row r="683" ht="14.25" customHeight="1">
      <c r="E683" s="3"/>
    </row>
    <row r="684" ht="14.25" customHeight="1">
      <c r="E684" s="3"/>
    </row>
    <row r="685" ht="14.25" customHeight="1">
      <c r="E685" s="3"/>
    </row>
    <row r="686" ht="14.25" customHeight="1">
      <c r="E686" s="3"/>
    </row>
    <row r="687" ht="14.25" customHeight="1">
      <c r="E687" s="3"/>
    </row>
    <row r="688" ht="14.25" customHeight="1">
      <c r="E688" s="3"/>
    </row>
    <row r="689" ht="14.25" customHeight="1">
      <c r="E689" s="3"/>
    </row>
    <row r="690" ht="14.25" customHeight="1">
      <c r="E690" s="3"/>
    </row>
    <row r="691" ht="14.25" customHeight="1">
      <c r="E691" s="3"/>
    </row>
    <row r="692" ht="14.25" customHeight="1">
      <c r="E692" s="3"/>
    </row>
    <row r="693" ht="14.25" customHeight="1">
      <c r="E693" s="3"/>
    </row>
    <row r="694" ht="14.25" customHeight="1">
      <c r="E694" s="3"/>
    </row>
    <row r="695" ht="14.25" customHeight="1">
      <c r="E695" s="3"/>
    </row>
    <row r="696" ht="14.25" customHeight="1">
      <c r="E696" s="3"/>
    </row>
    <row r="697" ht="14.25" customHeight="1">
      <c r="E697" s="3"/>
    </row>
    <row r="698" ht="14.25" customHeight="1">
      <c r="E698" s="3"/>
    </row>
    <row r="699" ht="14.25" customHeight="1">
      <c r="E699" s="3"/>
    </row>
    <row r="700" ht="14.25" customHeight="1">
      <c r="E700" s="3"/>
    </row>
    <row r="701" ht="14.25" customHeight="1">
      <c r="E701" s="3"/>
    </row>
    <row r="702" ht="14.25" customHeight="1">
      <c r="E702" s="3"/>
    </row>
    <row r="703" ht="14.25" customHeight="1">
      <c r="E703" s="3"/>
    </row>
    <row r="704" ht="14.25" customHeight="1">
      <c r="E704" s="3"/>
    </row>
    <row r="705" ht="14.25" customHeight="1">
      <c r="E705" s="3"/>
    </row>
    <row r="706" ht="14.25" customHeight="1">
      <c r="E706" s="3"/>
    </row>
    <row r="707" ht="14.25" customHeight="1">
      <c r="E707" s="3"/>
    </row>
    <row r="708" ht="14.25" customHeight="1">
      <c r="E708" s="3"/>
    </row>
    <row r="709" ht="14.25" customHeight="1">
      <c r="E709" s="3"/>
    </row>
    <row r="710" ht="14.25" customHeight="1">
      <c r="E710" s="3"/>
    </row>
    <row r="711" ht="14.25" customHeight="1">
      <c r="E711" s="3"/>
    </row>
    <row r="712" ht="14.25" customHeight="1">
      <c r="E712" s="3"/>
    </row>
    <row r="713" ht="14.25" customHeight="1">
      <c r="E713" s="3"/>
    </row>
    <row r="714" ht="14.25" customHeight="1">
      <c r="E714" s="3"/>
    </row>
    <row r="715" ht="14.25" customHeight="1">
      <c r="E715" s="3"/>
    </row>
    <row r="716" ht="14.25" customHeight="1">
      <c r="E716" s="3"/>
    </row>
    <row r="717" ht="14.25" customHeight="1">
      <c r="E717" s="3"/>
    </row>
    <row r="718" ht="14.25" customHeight="1">
      <c r="E718" s="3"/>
    </row>
    <row r="719" ht="14.25" customHeight="1">
      <c r="E719" s="3"/>
    </row>
    <row r="720" ht="14.25" customHeight="1">
      <c r="E720" s="3"/>
    </row>
    <row r="721" ht="14.25" customHeight="1">
      <c r="E721" s="3"/>
    </row>
    <row r="722" ht="14.25" customHeight="1">
      <c r="E722" s="3"/>
    </row>
    <row r="723" ht="14.25" customHeight="1">
      <c r="E723" s="3"/>
    </row>
    <row r="724" ht="14.25" customHeight="1">
      <c r="E724" s="3"/>
    </row>
    <row r="725" ht="14.25" customHeight="1">
      <c r="E725" s="3"/>
    </row>
    <row r="726" ht="14.25" customHeight="1">
      <c r="E726" s="3"/>
    </row>
    <row r="727" ht="14.25" customHeight="1">
      <c r="E727" s="3"/>
    </row>
    <row r="728" ht="14.25" customHeight="1">
      <c r="E728" s="3"/>
    </row>
    <row r="729" ht="14.25" customHeight="1">
      <c r="E729" s="3"/>
    </row>
    <row r="730" ht="14.25" customHeight="1">
      <c r="E730" s="3"/>
    </row>
    <row r="731" ht="14.25" customHeight="1">
      <c r="E731" s="3"/>
    </row>
    <row r="732" ht="14.25" customHeight="1">
      <c r="E732" s="3"/>
    </row>
    <row r="733" ht="14.25" customHeight="1">
      <c r="E733" s="3"/>
    </row>
    <row r="734" ht="14.25" customHeight="1">
      <c r="E734" s="3"/>
    </row>
    <row r="735" ht="14.25" customHeight="1">
      <c r="E735" s="3"/>
    </row>
    <row r="736" ht="14.25" customHeight="1">
      <c r="E736" s="3"/>
    </row>
    <row r="737" ht="14.25" customHeight="1">
      <c r="E737" s="3"/>
    </row>
    <row r="738" ht="14.25" customHeight="1">
      <c r="E738" s="3"/>
    </row>
    <row r="739" ht="14.25" customHeight="1">
      <c r="E739" s="3"/>
    </row>
    <row r="740" ht="14.25" customHeight="1">
      <c r="E740" s="3"/>
    </row>
    <row r="741" ht="14.25" customHeight="1">
      <c r="E741" s="3"/>
    </row>
    <row r="742" ht="14.25" customHeight="1">
      <c r="E742" s="3"/>
    </row>
    <row r="743" ht="14.25" customHeight="1">
      <c r="E743" s="3"/>
    </row>
    <row r="744" ht="14.25" customHeight="1">
      <c r="E744" s="3"/>
    </row>
    <row r="745" ht="14.25" customHeight="1">
      <c r="E745" s="3"/>
    </row>
    <row r="746" ht="14.25" customHeight="1">
      <c r="E746" s="3"/>
    </row>
    <row r="747" ht="14.25" customHeight="1">
      <c r="E747" s="3"/>
    </row>
    <row r="748" ht="14.25" customHeight="1">
      <c r="E748" s="3"/>
    </row>
    <row r="749" ht="14.25" customHeight="1">
      <c r="E749" s="3"/>
    </row>
    <row r="750" ht="14.25" customHeight="1">
      <c r="E750" s="3"/>
    </row>
    <row r="751" ht="14.25" customHeight="1">
      <c r="E751" s="3"/>
    </row>
    <row r="752" ht="14.25" customHeight="1">
      <c r="E752" s="3"/>
    </row>
    <row r="753" ht="14.25" customHeight="1">
      <c r="E753" s="3"/>
    </row>
    <row r="754" ht="14.25" customHeight="1">
      <c r="E754" s="3"/>
    </row>
    <row r="755" ht="14.25" customHeight="1">
      <c r="E755" s="3"/>
    </row>
    <row r="756" ht="14.25" customHeight="1">
      <c r="E756" s="3"/>
    </row>
    <row r="757" ht="14.25" customHeight="1">
      <c r="E757" s="3"/>
    </row>
    <row r="758" ht="14.25" customHeight="1">
      <c r="E758" s="3"/>
    </row>
    <row r="759" ht="14.25" customHeight="1">
      <c r="E759" s="3"/>
    </row>
    <row r="760" ht="14.25" customHeight="1">
      <c r="E760" s="3"/>
    </row>
    <row r="761" ht="14.25" customHeight="1">
      <c r="E761" s="3"/>
    </row>
    <row r="762" ht="14.25" customHeight="1">
      <c r="E762" s="3"/>
    </row>
    <row r="763" ht="14.25" customHeight="1">
      <c r="E763" s="3"/>
    </row>
    <row r="764" ht="14.25" customHeight="1">
      <c r="E764" s="3"/>
    </row>
    <row r="765" ht="14.25" customHeight="1">
      <c r="E765" s="3"/>
    </row>
    <row r="766" ht="14.25" customHeight="1">
      <c r="E766" s="3"/>
    </row>
    <row r="767" ht="14.25" customHeight="1">
      <c r="E767" s="3"/>
    </row>
    <row r="768" ht="14.25" customHeight="1">
      <c r="E768" s="3"/>
    </row>
    <row r="769" ht="14.25" customHeight="1">
      <c r="E769" s="3"/>
    </row>
    <row r="770" ht="14.25" customHeight="1">
      <c r="E770" s="3"/>
    </row>
    <row r="771" ht="14.25" customHeight="1">
      <c r="E771" s="3"/>
    </row>
    <row r="772" ht="14.25" customHeight="1">
      <c r="E772" s="3"/>
    </row>
    <row r="773" ht="14.25" customHeight="1">
      <c r="E773" s="3"/>
    </row>
    <row r="774" ht="14.25" customHeight="1">
      <c r="E774" s="3"/>
    </row>
    <row r="775" ht="14.25" customHeight="1">
      <c r="E775" s="3"/>
    </row>
    <row r="776" ht="14.25" customHeight="1">
      <c r="E776" s="3"/>
    </row>
    <row r="777" ht="14.25" customHeight="1">
      <c r="E777" s="3"/>
    </row>
    <row r="778" ht="14.25" customHeight="1">
      <c r="E778" s="3"/>
    </row>
    <row r="779" ht="14.25" customHeight="1">
      <c r="E779" s="3"/>
    </row>
    <row r="780" ht="14.25" customHeight="1">
      <c r="E780" s="3"/>
    </row>
    <row r="781" ht="14.25" customHeight="1">
      <c r="E781" s="3"/>
    </row>
    <row r="782" ht="14.25" customHeight="1">
      <c r="E782" s="3"/>
    </row>
    <row r="783" ht="14.25" customHeight="1">
      <c r="E783" s="3"/>
    </row>
    <row r="784" ht="14.25" customHeight="1">
      <c r="E784" s="3"/>
    </row>
    <row r="785" ht="14.25" customHeight="1">
      <c r="E785" s="3"/>
    </row>
    <row r="786" ht="14.25" customHeight="1">
      <c r="E786" s="3"/>
    </row>
    <row r="787" ht="14.25" customHeight="1">
      <c r="E787" s="3"/>
    </row>
    <row r="788" ht="14.25" customHeight="1">
      <c r="E788" s="3"/>
    </row>
    <row r="789" ht="14.25" customHeight="1">
      <c r="E789" s="3"/>
    </row>
    <row r="790" ht="14.25" customHeight="1">
      <c r="E790" s="3"/>
    </row>
    <row r="791" ht="14.25" customHeight="1">
      <c r="E791" s="3"/>
    </row>
    <row r="792" ht="14.25" customHeight="1">
      <c r="E792" s="3"/>
    </row>
    <row r="793" ht="14.25" customHeight="1">
      <c r="E793" s="3"/>
    </row>
    <row r="794" ht="14.25" customHeight="1">
      <c r="E794" s="3"/>
    </row>
    <row r="795" ht="14.25" customHeight="1">
      <c r="E795" s="3"/>
    </row>
    <row r="796" ht="14.25" customHeight="1">
      <c r="E796" s="3"/>
    </row>
    <row r="797" ht="14.25" customHeight="1">
      <c r="E797" s="3"/>
    </row>
    <row r="798" ht="14.25" customHeight="1">
      <c r="E798" s="3"/>
    </row>
    <row r="799" ht="14.25" customHeight="1">
      <c r="E799" s="3"/>
    </row>
    <row r="800" ht="14.25" customHeight="1">
      <c r="E800" s="3"/>
    </row>
    <row r="801" ht="14.25" customHeight="1">
      <c r="E801" s="3"/>
    </row>
    <row r="802" ht="14.25" customHeight="1">
      <c r="E802" s="3"/>
    </row>
    <row r="803" ht="14.25" customHeight="1">
      <c r="E803" s="3"/>
    </row>
    <row r="804" ht="14.25" customHeight="1">
      <c r="E804" s="3"/>
    </row>
    <row r="805" ht="14.25" customHeight="1">
      <c r="E805" s="3"/>
    </row>
    <row r="806" ht="14.25" customHeight="1">
      <c r="E806" s="3"/>
    </row>
    <row r="807" ht="14.25" customHeight="1">
      <c r="E807" s="3"/>
    </row>
    <row r="808" ht="14.25" customHeight="1">
      <c r="E808" s="3"/>
    </row>
    <row r="809" ht="14.25" customHeight="1">
      <c r="E809" s="3"/>
    </row>
    <row r="810" ht="14.25" customHeight="1">
      <c r="E810" s="3"/>
    </row>
    <row r="811" ht="14.25" customHeight="1">
      <c r="E811" s="3"/>
    </row>
    <row r="812" ht="14.25" customHeight="1">
      <c r="E812" s="3"/>
    </row>
    <row r="813" ht="14.25" customHeight="1">
      <c r="E813" s="3"/>
    </row>
    <row r="814" ht="14.25" customHeight="1">
      <c r="E814" s="3"/>
    </row>
    <row r="815" ht="14.25" customHeight="1">
      <c r="E815" s="3"/>
    </row>
    <row r="816" ht="14.25" customHeight="1">
      <c r="E816" s="3"/>
    </row>
    <row r="817" ht="14.25" customHeight="1">
      <c r="E817" s="3"/>
    </row>
    <row r="818" ht="14.25" customHeight="1">
      <c r="E818" s="3"/>
    </row>
    <row r="819" ht="14.25" customHeight="1">
      <c r="E819" s="3"/>
    </row>
    <row r="820" ht="14.25" customHeight="1">
      <c r="E820" s="3"/>
    </row>
    <row r="821" ht="14.25" customHeight="1">
      <c r="E821" s="3"/>
    </row>
    <row r="822" ht="14.25" customHeight="1">
      <c r="E822" s="3"/>
    </row>
    <row r="823" ht="14.25" customHeight="1">
      <c r="E823" s="3"/>
    </row>
    <row r="824" ht="14.25" customHeight="1">
      <c r="E824" s="3"/>
    </row>
    <row r="825" ht="14.25" customHeight="1">
      <c r="E825" s="3"/>
    </row>
    <row r="826" ht="14.25" customHeight="1">
      <c r="E826" s="3"/>
    </row>
    <row r="827" ht="14.25" customHeight="1">
      <c r="E827" s="3"/>
    </row>
    <row r="828" ht="14.25" customHeight="1">
      <c r="E828" s="3"/>
    </row>
    <row r="829" ht="14.25" customHeight="1">
      <c r="E829" s="3"/>
    </row>
    <row r="830" ht="14.25" customHeight="1">
      <c r="E830" s="3"/>
    </row>
    <row r="831" ht="14.25" customHeight="1">
      <c r="E831" s="3"/>
    </row>
    <row r="832" ht="14.25" customHeight="1">
      <c r="E832" s="3"/>
    </row>
    <row r="833" ht="14.25" customHeight="1">
      <c r="E833" s="3"/>
    </row>
    <row r="834" ht="14.25" customHeight="1">
      <c r="E834" s="3"/>
    </row>
    <row r="835" ht="14.25" customHeight="1">
      <c r="E835" s="3"/>
    </row>
    <row r="836" ht="14.25" customHeight="1">
      <c r="E836" s="3"/>
    </row>
    <row r="837" ht="14.25" customHeight="1">
      <c r="E837" s="3"/>
    </row>
    <row r="838" ht="14.25" customHeight="1">
      <c r="E838" s="3"/>
    </row>
    <row r="839" ht="14.25" customHeight="1">
      <c r="E839" s="3"/>
    </row>
    <row r="840" ht="14.25" customHeight="1">
      <c r="E840" s="3"/>
    </row>
    <row r="841" ht="14.25" customHeight="1">
      <c r="E841" s="3"/>
    </row>
    <row r="842" ht="14.25" customHeight="1">
      <c r="E842" s="3"/>
    </row>
    <row r="843" ht="14.25" customHeight="1">
      <c r="E843" s="3"/>
    </row>
    <row r="844" ht="14.25" customHeight="1">
      <c r="E844" s="3"/>
    </row>
    <row r="845" ht="14.25" customHeight="1">
      <c r="E845" s="3"/>
    </row>
    <row r="846" ht="14.25" customHeight="1">
      <c r="E846" s="3"/>
    </row>
    <row r="847" ht="14.25" customHeight="1">
      <c r="E847" s="3"/>
    </row>
    <row r="848" ht="14.25" customHeight="1">
      <c r="E848" s="3"/>
    </row>
    <row r="849" ht="14.25" customHeight="1">
      <c r="E849" s="3"/>
    </row>
    <row r="850" ht="14.25" customHeight="1">
      <c r="E850" s="3"/>
    </row>
    <row r="851" ht="14.25" customHeight="1">
      <c r="E851" s="3"/>
    </row>
    <row r="852" ht="14.25" customHeight="1">
      <c r="E852" s="3"/>
    </row>
    <row r="853" ht="14.25" customHeight="1">
      <c r="E853" s="3"/>
    </row>
    <row r="854" ht="14.25" customHeight="1">
      <c r="E854" s="3"/>
    </row>
    <row r="855" ht="14.25" customHeight="1">
      <c r="E855" s="3"/>
    </row>
    <row r="856" ht="14.25" customHeight="1">
      <c r="E856" s="3"/>
    </row>
    <row r="857" ht="14.25" customHeight="1">
      <c r="E857" s="3"/>
    </row>
    <row r="858" ht="14.25" customHeight="1">
      <c r="E858" s="3"/>
    </row>
    <row r="859" ht="14.25" customHeight="1">
      <c r="E859" s="3"/>
    </row>
    <row r="860" ht="14.25" customHeight="1">
      <c r="E860" s="3"/>
    </row>
    <row r="861" ht="14.25" customHeight="1">
      <c r="E861" s="3"/>
    </row>
    <row r="862" ht="14.25" customHeight="1">
      <c r="E862" s="3"/>
    </row>
    <row r="863" ht="14.25" customHeight="1">
      <c r="E863" s="3"/>
    </row>
    <row r="864" ht="14.25" customHeight="1">
      <c r="E864" s="3"/>
    </row>
    <row r="865" ht="14.25" customHeight="1">
      <c r="E865" s="3"/>
    </row>
    <row r="866" ht="14.25" customHeight="1">
      <c r="E866" s="3"/>
    </row>
    <row r="867" ht="14.25" customHeight="1">
      <c r="E867" s="3"/>
    </row>
    <row r="868" ht="14.25" customHeight="1">
      <c r="E868" s="3"/>
    </row>
    <row r="869" ht="14.25" customHeight="1">
      <c r="E869" s="3"/>
    </row>
    <row r="870" ht="14.25" customHeight="1">
      <c r="E870" s="3"/>
    </row>
    <row r="871" ht="14.25" customHeight="1">
      <c r="E871" s="3"/>
    </row>
    <row r="872" ht="14.25" customHeight="1">
      <c r="E872" s="3"/>
    </row>
    <row r="873" ht="14.25" customHeight="1">
      <c r="E873" s="3"/>
    </row>
    <row r="874" ht="14.25" customHeight="1">
      <c r="E874" s="3"/>
    </row>
    <row r="875" ht="14.25" customHeight="1">
      <c r="E875" s="3"/>
    </row>
    <row r="876" ht="14.25" customHeight="1">
      <c r="E876" s="3"/>
    </row>
    <row r="877" ht="14.25" customHeight="1">
      <c r="E877" s="3"/>
    </row>
    <row r="878" ht="14.25" customHeight="1">
      <c r="E878" s="3"/>
    </row>
    <row r="879" ht="14.25" customHeight="1">
      <c r="E879" s="3"/>
    </row>
    <row r="880" ht="14.25" customHeight="1">
      <c r="E880" s="3"/>
    </row>
    <row r="881" ht="14.25" customHeight="1">
      <c r="E881" s="3"/>
    </row>
    <row r="882" ht="14.25" customHeight="1">
      <c r="E882" s="3"/>
    </row>
    <row r="883" ht="14.25" customHeight="1">
      <c r="E883" s="3"/>
    </row>
    <row r="884" ht="14.25" customHeight="1">
      <c r="E884" s="3"/>
    </row>
    <row r="885" ht="14.25" customHeight="1">
      <c r="E885" s="3"/>
    </row>
    <row r="886" ht="14.25" customHeight="1">
      <c r="E886" s="3"/>
    </row>
    <row r="887" ht="14.25" customHeight="1">
      <c r="E887" s="3"/>
    </row>
    <row r="888" ht="14.25" customHeight="1">
      <c r="E888" s="3"/>
    </row>
    <row r="889" ht="14.25" customHeight="1">
      <c r="E889" s="3"/>
    </row>
    <row r="890" ht="14.25" customHeight="1">
      <c r="E890" s="3"/>
    </row>
    <row r="891" ht="14.25" customHeight="1">
      <c r="E891" s="3"/>
    </row>
    <row r="892" ht="14.25" customHeight="1">
      <c r="E892" s="3"/>
    </row>
    <row r="893" ht="14.25" customHeight="1">
      <c r="E893" s="3"/>
    </row>
    <row r="894" ht="14.25" customHeight="1">
      <c r="E894" s="3"/>
    </row>
    <row r="895" ht="14.25" customHeight="1">
      <c r="E895" s="3"/>
    </row>
    <row r="896" ht="14.25" customHeight="1">
      <c r="E896" s="3"/>
    </row>
    <row r="897" ht="14.25" customHeight="1">
      <c r="E897" s="3"/>
    </row>
    <row r="898" ht="14.25" customHeight="1">
      <c r="E898" s="3"/>
    </row>
    <row r="899" ht="14.25" customHeight="1">
      <c r="E899" s="3"/>
    </row>
    <row r="900" ht="14.25" customHeight="1">
      <c r="E900" s="3"/>
    </row>
    <row r="901" ht="14.25" customHeight="1">
      <c r="E901" s="3"/>
    </row>
    <row r="902" ht="14.25" customHeight="1">
      <c r="E902" s="3"/>
    </row>
    <row r="903" ht="14.25" customHeight="1">
      <c r="E903" s="3"/>
    </row>
    <row r="904" ht="14.25" customHeight="1">
      <c r="E904" s="3"/>
    </row>
    <row r="905" ht="14.25" customHeight="1">
      <c r="E905" s="3"/>
    </row>
    <row r="906" ht="14.25" customHeight="1">
      <c r="E906" s="3"/>
    </row>
    <row r="907" ht="14.25" customHeight="1">
      <c r="E907" s="3"/>
    </row>
    <row r="908" ht="14.25" customHeight="1">
      <c r="E908" s="3"/>
    </row>
    <row r="909" ht="14.25" customHeight="1">
      <c r="E909" s="3"/>
    </row>
    <row r="910" ht="14.25" customHeight="1">
      <c r="E910" s="3"/>
    </row>
    <row r="911" ht="14.25" customHeight="1">
      <c r="E911" s="3"/>
    </row>
    <row r="912" ht="14.25" customHeight="1">
      <c r="E912" s="3"/>
    </row>
    <row r="913" ht="14.25" customHeight="1">
      <c r="E913" s="3"/>
    </row>
    <row r="914" ht="14.25" customHeight="1">
      <c r="E914" s="3"/>
    </row>
    <row r="915" ht="14.25" customHeight="1">
      <c r="E915" s="3"/>
    </row>
    <row r="916" ht="14.25" customHeight="1">
      <c r="E916" s="3"/>
    </row>
    <row r="917" ht="14.25" customHeight="1">
      <c r="E917" s="3"/>
    </row>
    <row r="918" ht="14.25" customHeight="1">
      <c r="E918" s="3"/>
    </row>
    <row r="919" ht="14.25" customHeight="1">
      <c r="E919" s="3"/>
    </row>
    <row r="920" ht="14.25" customHeight="1">
      <c r="E920" s="3"/>
    </row>
    <row r="921" ht="14.25" customHeight="1">
      <c r="E921" s="3"/>
    </row>
    <row r="922" ht="14.25" customHeight="1">
      <c r="E922" s="3"/>
    </row>
    <row r="923" ht="14.25" customHeight="1">
      <c r="E923" s="3"/>
    </row>
    <row r="924" ht="14.25" customHeight="1">
      <c r="E924" s="3"/>
    </row>
    <row r="925" ht="14.25" customHeight="1">
      <c r="E925" s="3"/>
    </row>
    <row r="926" ht="14.25" customHeight="1">
      <c r="E926" s="3"/>
    </row>
    <row r="927" ht="14.25" customHeight="1">
      <c r="E927" s="3"/>
    </row>
    <row r="928" ht="14.25" customHeight="1">
      <c r="E928" s="3"/>
    </row>
    <row r="929" ht="14.25" customHeight="1">
      <c r="E929" s="3"/>
    </row>
    <row r="930" ht="14.25" customHeight="1">
      <c r="E930" s="3"/>
    </row>
    <row r="931" ht="14.25" customHeight="1">
      <c r="E931" s="3"/>
    </row>
    <row r="932" ht="14.25" customHeight="1">
      <c r="E932" s="3"/>
    </row>
    <row r="933" ht="14.25" customHeight="1">
      <c r="E933" s="3"/>
    </row>
    <row r="934" ht="14.25" customHeight="1">
      <c r="E934" s="3"/>
    </row>
  </sheetData>
  <mergeCells count="35">
    <mergeCell ref="A2:B3"/>
    <mergeCell ref="D2:J3"/>
    <mergeCell ref="L2:R3"/>
    <mergeCell ref="T2:Z3"/>
    <mergeCell ref="AB2:AH3"/>
    <mergeCell ref="A5:A6"/>
    <mergeCell ref="B5:B6"/>
    <mergeCell ref="A7:A8"/>
    <mergeCell ref="B7:B8"/>
    <mergeCell ref="A9:A10"/>
    <mergeCell ref="B9:B10"/>
    <mergeCell ref="A11:A12"/>
    <mergeCell ref="B11:B12"/>
    <mergeCell ref="B13:B14"/>
    <mergeCell ref="A13:A14"/>
    <mergeCell ref="A15:A17"/>
    <mergeCell ref="B15:B17"/>
    <mergeCell ref="A18:A20"/>
    <mergeCell ref="B18:B20"/>
    <mergeCell ref="A21:A23"/>
    <mergeCell ref="B21:B23"/>
    <mergeCell ref="A33:A35"/>
    <mergeCell ref="A36:A38"/>
    <mergeCell ref="A39:A41"/>
    <mergeCell ref="A42:A45"/>
    <mergeCell ref="B36:B38"/>
    <mergeCell ref="B39:B41"/>
    <mergeCell ref="B42:B45"/>
    <mergeCell ref="A24:A26"/>
    <mergeCell ref="B24:B26"/>
    <mergeCell ref="A27:A29"/>
    <mergeCell ref="B27:B29"/>
    <mergeCell ref="A30:A32"/>
    <mergeCell ref="B30:B32"/>
    <mergeCell ref="B33:B35"/>
  </mergeCells>
  <hyperlinks>
    <hyperlink r:id="rId1" ref="A48"/>
    <hyperlink r:id="rId2" ref="B48"/>
    <hyperlink r:id="rId3" ref="A49"/>
    <hyperlink r:id="rId4" ref="B49"/>
    <hyperlink r:id="rId5" ref="A51"/>
    <hyperlink r:id="rId6" ref="B51"/>
    <hyperlink r:id="rId7" ref="A52"/>
    <hyperlink r:id="rId8" ref="B52"/>
    <hyperlink r:id="rId9" ref="A54"/>
    <hyperlink r:id="rId10" ref="B54"/>
    <hyperlink r:id="rId11" ref="A55"/>
    <hyperlink r:id="rId12" ref="B55"/>
    <hyperlink r:id="rId13" ref="A57"/>
    <hyperlink r:id="rId14" ref="B57"/>
    <hyperlink r:id="rId15" ref="A58"/>
    <hyperlink r:id="rId16" ref="B58"/>
    <hyperlink r:id="rId17" ref="A60"/>
    <hyperlink r:id="rId18" ref="B60"/>
    <hyperlink r:id="rId19" ref="A61"/>
    <hyperlink r:id="rId20" ref="B61"/>
    <hyperlink r:id="rId21" ref="A63"/>
    <hyperlink r:id="rId22" ref="B63"/>
    <hyperlink r:id="rId23" ref="A64"/>
    <hyperlink r:id="rId24" ref="B64"/>
    <hyperlink r:id="rId25" ref="A66"/>
    <hyperlink r:id="rId26" ref="B66"/>
    <hyperlink r:id="rId27" ref="A67"/>
    <hyperlink r:id="rId28" ref="B67"/>
    <hyperlink r:id="rId29" ref="A69"/>
    <hyperlink r:id="rId30" ref="B69"/>
    <hyperlink r:id="rId31" ref="B72"/>
    <hyperlink r:id="rId32" ref="B73"/>
    <hyperlink r:id="rId33" ref="B75"/>
    <hyperlink r:id="rId34" ref="B76"/>
    <hyperlink r:id="rId35" ref="B78"/>
    <hyperlink r:id="rId36" ref="B79"/>
    <hyperlink r:id="rId37" ref="B81"/>
    <hyperlink r:id="rId38" ref="B82"/>
  </hyperlinks>
  <printOptions/>
  <pageMargins bottom="0.75" footer="0.0" header="0.0" left="0.7" right="0.7" top="0.75"/>
  <pageSetup orientation="landscape"/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4.14"/>
    <col customWidth="1" min="2" max="2" width="12.14"/>
    <col customWidth="1" min="3" max="3" width="2.86"/>
    <col customWidth="1" min="4" max="5" width="10.86"/>
    <col customWidth="1" min="6" max="6" width="11.57"/>
    <col customWidth="1" min="7" max="7" width="12.71"/>
    <col customWidth="1" min="8" max="8" width="12.0"/>
    <col customWidth="1" min="9" max="9" width="9.86"/>
    <col customWidth="1" min="10" max="10" width="10.86"/>
    <col customWidth="1" min="11" max="11" width="4.0"/>
    <col customWidth="1" min="12" max="13" width="10.86"/>
    <col customWidth="1" min="14" max="14" width="11.57"/>
    <col customWidth="1" min="15" max="16" width="11.14"/>
    <col customWidth="1" min="17" max="18" width="10.86"/>
    <col customWidth="1" min="19" max="19" width="4.71"/>
    <col customWidth="1" min="20" max="21" width="10.86"/>
    <col customWidth="1" min="22" max="22" width="11.57"/>
    <col customWidth="1" min="23" max="24" width="11.14"/>
    <col customWidth="1" min="25" max="26" width="10.86"/>
    <col customWidth="1" min="27" max="27" width="3.43"/>
    <col customWidth="1" min="28" max="29" width="10.86"/>
    <col customWidth="1" min="30" max="30" width="11.57"/>
    <col customWidth="1" min="31" max="32" width="11.14"/>
    <col customWidth="1" min="33" max="34" width="10.86"/>
  </cols>
  <sheetData>
    <row r="1" ht="14.25" customHeight="1">
      <c r="A1" s="26"/>
      <c r="B1" s="26"/>
      <c r="C1" s="26"/>
      <c r="D1" s="26"/>
      <c r="E1" s="3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ht="14.25" customHeight="1">
      <c r="A2" s="7" t="s">
        <v>25</v>
      </c>
      <c r="B2" s="8"/>
      <c r="C2" s="26"/>
      <c r="D2" s="10" t="s">
        <v>26</v>
      </c>
      <c r="E2" s="11"/>
      <c r="F2" s="11"/>
      <c r="G2" s="11"/>
      <c r="H2" s="11"/>
      <c r="I2" s="11"/>
      <c r="J2" s="12"/>
      <c r="K2" s="26"/>
      <c r="L2" s="14" t="s">
        <v>30</v>
      </c>
      <c r="M2" s="11"/>
      <c r="N2" s="11"/>
      <c r="O2" s="11"/>
      <c r="P2" s="11"/>
      <c r="Q2" s="11"/>
      <c r="R2" s="12"/>
      <c r="S2" s="26"/>
      <c r="T2" s="17" t="s">
        <v>32</v>
      </c>
      <c r="U2" s="11"/>
      <c r="V2" s="11"/>
      <c r="W2" s="11"/>
      <c r="X2" s="11"/>
      <c r="Y2" s="11"/>
      <c r="Z2" s="12"/>
      <c r="AA2" s="26"/>
      <c r="AB2" s="18" t="s">
        <v>33</v>
      </c>
      <c r="AC2" s="11"/>
      <c r="AD2" s="11"/>
      <c r="AE2" s="11"/>
      <c r="AF2" s="11"/>
      <c r="AG2" s="11"/>
      <c r="AH2" s="12"/>
    </row>
    <row r="3" ht="14.25" customHeight="1">
      <c r="A3" s="21"/>
      <c r="B3" s="22"/>
      <c r="C3" s="26"/>
      <c r="D3" s="23"/>
      <c r="E3" s="24"/>
      <c r="F3" s="24"/>
      <c r="G3" s="24"/>
      <c r="H3" s="24"/>
      <c r="I3" s="24"/>
      <c r="J3" s="25"/>
      <c r="K3" s="26"/>
      <c r="L3" s="28"/>
      <c r="M3" s="29"/>
      <c r="N3" s="29"/>
      <c r="O3" s="29"/>
      <c r="P3" s="29"/>
      <c r="Q3" s="29"/>
      <c r="R3" s="30"/>
      <c r="S3" s="26"/>
      <c r="T3" s="28"/>
      <c r="U3" s="29"/>
      <c r="V3" s="29"/>
      <c r="W3" s="29"/>
      <c r="X3" s="29"/>
      <c r="Y3" s="29"/>
      <c r="Z3" s="30"/>
      <c r="AA3" s="26"/>
      <c r="AB3" s="28"/>
      <c r="AC3" s="29"/>
      <c r="AD3" s="29"/>
      <c r="AE3" s="29"/>
      <c r="AF3" s="29"/>
      <c r="AG3" s="29"/>
      <c r="AH3" s="30"/>
    </row>
    <row r="4">
      <c r="A4" s="51" t="s">
        <v>12</v>
      </c>
      <c r="B4" s="51" t="s">
        <v>13</v>
      </c>
      <c r="C4" s="52"/>
      <c r="D4" s="53" t="s">
        <v>14</v>
      </c>
      <c r="E4" s="54" t="s">
        <v>16</v>
      </c>
      <c r="F4" s="55" t="s">
        <v>17</v>
      </c>
      <c r="G4" s="55" t="s">
        <v>18</v>
      </c>
      <c r="H4" s="55" t="s">
        <v>19</v>
      </c>
      <c r="I4" s="58" t="s">
        <v>20</v>
      </c>
      <c r="J4" s="60" t="s">
        <v>22</v>
      </c>
      <c r="K4" s="52"/>
      <c r="L4" s="51" t="s">
        <v>14</v>
      </c>
      <c r="M4" s="62" t="s">
        <v>16</v>
      </c>
      <c r="N4" s="51" t="s">
        <v>17</v>
      </c>
      <c r="O4" s="51" t="s">
        <v>18</v>
      </c>
      <c r="P4" s="51" t="s">
        <v>19</v>
      </c>
      <c r="Q4" s="64" t="s">
        <v>20</v>
      </c>
      <c r="R4" s="66" t="s">
        <v>22</v>
      </c>
      <c r="S4" s="52"/>
      <c r="T4" s="51" t="s">
        <v>14</v>
      </c>
      <c r="U4" s="62" t="s">
        <v>16</v>
      </c>
      <c r="V4" s="51" t="s">
        <v>17</v>
      </c>
      <c r="W4" s="51" t="s">
        <v>18</v>
      </c>
      <c r="X4" s="51" t="s">
        <v>19</v>
      </c>
      <c r="Y4" s="64" t="s">
        <v>20</v>
      </c>
      <c r="Z4" s="66" t="s">
        <v>22</v>
      </c>
      <c r="AA4" s="52"/>
      <c r="AB4" s="51" t="s">
        <v>14</v>
      </c>
      <c r="AC4" s="62" t="s">
        <v>16</v>
      </c>
      <c r="AD4" s="51" t="s">
        <v>17</v>
      </c>
      <c r="AE4" s="51" t="s">
        <v>18</v>
      </c>
      <c r="AF4" s="51" t="s">
        <v>19</v>
      </c>
      <c r="AG4" s="64" t="s">
        <v>20</v>
      </c>
      <c r="AH4" s="66" t="s">
        <v>22</v>
      </c>
    </row>
    <row r="5" ht="14.25" customHeight="1">
      <c r="A5" s="41" t="s">
        <v>42</v>
      </c>
      <c r="B5" s="43">
        <v>1087000.0</v>
      </c>
      <c r="C5" s="26"/>
      <c r="D5" s="45">
        <v>1.0</v>
      </c>
      <c r="E5" s="46">
        <v>0.1</v>
      </c>
      <c r="F5" s="48">
        <f>H5</f>
        <v>978300</v>
      </c>
      <c r="G5" s="48">
        <v>0.0</v>
      </c>
      <c r="H5" s="48">
        <f>B5-(B5*E5)</f>
        <v>978300</v>
      </c>
      <c r="I5" s="48">
        <f>H5/J$5</f>
        <v>6038.888889</v>
      </c>
      <c r="J5" s="50">
        <v>162.0</v>
      </c>
      <c r="K5" s="26"/>
      <c r="L5" s="45">
        <f>$D$5</f>
        <v>1</v>
      </c>
      <c r="M5" s="46">
        <f t="shared" ref="M5:M6" si="1">E5+5%</f>
        <v>0.15</v>
      </c>
      <c r="N5" s="48">
        <f>P5</f>
        <v>923950</v>
      </c>
      <c r="O5" s="48">
        <v>0.0</v>
      </c>
      <c r="P5" s="48">
        <f t="shared" ref="P5:P6" si="2">$B$5-($B$5*M5)</f>
        <v>923950</v>
      </c>
      <c r="Q5" s="48">
        <f>P5/R5</f>
        <v>5703.395062</v>
      </c>
      <c r="R5" s="50">
        <f>J5</f>
        <v>162</v>
      </c>
      <c r="S5" s="26"/>
      <c r="T5" s="45">
        <f>$D$5</f>
        <v>1</v>
      </c>
      <c r="U5" s="46">
        <f t="shared" ref="U5:U6" si="3">M5+5%</f>
        <v>0.2</v>
      </c>
      <c r="V5" s="48">
        <f>X5</f>
        <v>869600</v>
      </c>
      <c r="W5" s="48">
        <v>0.0</v>
      </c>
      <c r="X5" s="48">
        <f t="shared" ref="X5:X6" si="4">$B$5-($B$5*U5)</f>
        <v>869600</v>
      </c>
      <c r="Y5" s="48">
        <f>X5/Z5</f>
        <v>5367.901235</v>
      </c>
      <c r="Z5" s="50">
        <f>R5</f>
        <v>162</v>
      </c>
      <c r="AA5" s="26"/>
      <c r="AB5" s="45">
        <f>$D$5</f>
        <v>1</v>
      </c>
      <c r="AC5" s="46">
        <f t="shared" ref="AC5:AC6" si="5">U5+5%</f>
        <v>0.25</v>
      </c>
      <c r="AD5" s="48">
        <f>AF5</f>
        <v>815250</v>
      </c>
      <c r="AE5" s="48">
        <v>0.0</v>
      </c>
      <c r="AF5" s="48">
        <f t="shared" ref="AF5:AF6" si="6">$B$5-($B$5*AC5)</f>
        <v>815250</v>
      </c>
      <c r="AG5" s="48">
        <f>AF5/AH5</f>
        <v>5032.407407</v>
      </c>
      <c r="AH5" s="50">
        <f>Z5</f>
        <v>162</v>
      </c>
    </row>
    <row r="6" ht="14.25" customHeight="1">
      <c r="A6" s="68"/>
      <c r="B6" s="69"/>
      <c r="C6" s="26"/>
      <c r="D6" s="71">
        <v>3.0</v>
      </c>
      <c r="E6" s="72">
        <v>0.0</v>
      </c>
      <c r="F6" s="73">
        <f>H6/D6</f>
        <v>362333.3333</v>
      </c>
      <c r="G6" s="74">
        <f>(H6-F6)/(D6-1)</f>
        <v>362333.3333</v>
      </c>
      <c r="H6" s="74">
        <f>B5-(B5*E6)</f>
        <v>1087000</v>
      </c>
      <c r="I6" s="74">
        <f>H6/J5</f>
        <v>6709.876543</v>
      </c>
      <c r="J6" s="75">
        <v>27.0</v>
      </c>
      <c r="K6" s="26"/>
      <c r="L6" s="71">
        <f>$D$6</f>
        <v>3</v>
      </c>
      <c r="M6" s="72">
        <f t="shared" si="1"/>
        <v>0.05</v>
      </c>
      <c r="N6" s="73">
        <f>P6/L6</f>
        <v>344216.6667</v>
      </c>
      <c r="O6" s="74">
        <f>(P6-N6)/(L6-1)</f>
        <v>344216.6667</v>
      </c>
      <c r="P6" s="74">
        <f t="shared" si="2"/>
        <v>1032650</v>
      </c>
      <c r="Q6" s="74">
        <f>P6/R5</f>
        <v>6374.382716</v>
      </c>
      <c r="R6" s="75">
        <v>27.0</v>
      </c>
      <c r="S6" s="26"/>
      <c r="T6" s="71">
        <f>$D$6</f>
        <v>3</v>
      </c>
      <c r="U6" s="72">
        <f t="shared" si="3"/>
        <v>0.1</v>
      </c>
      <c r="V6" s="73">
        <f>X6/T6</f>
        <v>326100</v>
      </c>
      <c r="W6" s="74">
        <f>(X6-V6)/(T6-1)</f>
        <v>326100</v>
      </c>
      <c r="X6" s="74">
        <f t="shared" si="4"/>
        <v>978300</v>
      </c>
      <c r="Y6" s="74">
        <f>X6/Z5</f>
        <v>6038.888889</v>
      </c>
      <c r="Z6" s="75">
        <v>27.0</v>
      </c>
      <c r="AA6" s="26"/>
      <c r="AB6" s="71">
        <f>$D$6</f>
        <v>3</v>
      </c>
      <c r="AC6" s="72">
        <f t="shared" si="5"/>
        <v>0.15</v>
      </c>
      <c r="AD6" s="73">
        <f>AF6/AB6</f>
        <v>307983.3333</v>
      </c>
      <c r="AE6" s="74">
        <f>(AF6-AD6)/(AB6-1)</f>
        <v>307983.3333</v>
      </c>
      <c r="AF6" s="74">
        <f t="shared" si="6"/>
        <v>923950</v>
      </c>
      <c r="AG6" s="74">
        <f>AF6/AH5</f>
        <v>5703.395062</v>
      </c>
      <c r="AH6" s="75">
        <v>27.0</v>
      </c>
    </row>
    <row r="7" ht="7.5" customHeight="1">
      <c r="A7" s="100"/>
      <c r="B7" s="101"/>
      <c r="C7" s="26"/>
      <c r="D7" s="102"/>
      <c r="E7" s="103"/>
      <c r="F7" s="104"/>
      <c r="G7" s="105"/>
      <c r="H7" s="105"/>
      <c r="I7" s="106"/>
      <c r="J7" s="107"/>
      <c r="K7" s="26"/>
      <c r="L7" s="102"/>
      <c r="M7" s="103"/>
      <c r="N7" s="104"/>
      <c r="O7" s="105"/>
      <c r="P7" s="105"/>
      <c r="Q7" s="105"/>
      <c r="R7" s="107"/>
      <c r="S7" s="26"/>
      <c r="T7" s="102"/>
      <c r="U7" s="103"/>
      <c r="V7" s="104"/>
      <c r="W7" s="105"/>
      <c r="X7" s="105"/>
      <c r="Y7" s="105"/>
      <c r="Z7" s="107"/>
      <c r="AA7" s="26"/>
      <c r="AB7" s="102"/>
      <c r="AC7" s="103"/>
      <c r="AD7" s="104"/>
      <c r="AE7" s="105"/>
      <c r="AF7" s="105"/>
      <c r="AG7" s="105"/>
      <c r="AH7" s="107"/>
    </row>
    <row r="8" ht="14.25" customHeight="1">
      <c r="A8" s="109" t="s">
        <v>47</v>
      </c>
      <c r="B8" s="110">
        <v>1377000.0</v>
      </c>
      <c r="C8" s="26"/>
      <c r="D8" s="111">
        <v>1.0</v>
      </c>
      <c r="E8" s="112">
        <f>E5+15%</f>
        <v>0.25</v>
      </c>
      <c r="F8" s="113">
        <f>H8</f>
        <v>1032750</v>
      </c>
      <c r="G8" s="113">
        <v>0.0</v>
      </c>
      <c r="H8" s="113">
        <f>B8-(B8*E8)</f>
        <v>1032750</v>
      </c>
      <c r="I8" s="115">
        <f>H8/J8</f>
        <v>6375</v>
      </c>
      <c r="J8" s="116">
        <v>162.0</v>
      </c>
      <c r="K8" s="26"/>
      <c r="L8" s="111">
        <f>$D$25</f>
        <v>1</v>
      </c>
      <c r="M8" s="112">
        <f t="shared" ref="M8:M9" si="7">E8+5%</f>
        <v>0.3</v>
      </c>
      <c r="N8" s="113">
        <f>P8</f>
        <v>963900</v>
      </c>
      <c r="O8" s="113">
        <v>0.0</v>
      </c>
      <c r="P8" s="113">
        <f t="shared" ref="P8:P9" si="8">$B$8-($B$8*M8)</f>
        <v>963900</v>
      </c>
      <c r="Q8" s="113">
        <f>P8/R8</f>
        <v>5950</v>
      </c>
      <c r="R8" s="116">
        <f>J8</f>
        <v>162</v>
      </c>
      <c r="S8" s="26"/>
      <c r="T8" s="111">
        <f>$D$25</f>
        <v>1</v>
      </c>
      <c r="U8" s="112">
        <f t="shared" ref="U8:U9" si="9">M8+5%</f>
        <v>0.35</v>
      </c>
      <c r="V8" s="113">
        <f>X8</f>
        <v>895050</v>
      </c>
      <c r="W8" s="113">
        <v>0.0</v>
      </c>
      <c r="X8" s="113">
        <f t="shared" ref="X8:X9" si="10">$B$8-($B$8*U8)</f>
        <v>895050</v>
      </c>
      <c r="Y8" s="113">
        <f>X8/Z8</f>
        <v>5525</v>
      </c>
      <c r="Z8" s="116">
        <f>R8</f>
        <v>162</v>
      </c>
      <c r="AA8" s="26"/>
      <c r="AB8" s="111">
        <f>$D$25</f>
        <v>1</v>
      </c>
      <c r="AC8" s="112">
        <f t="shared" ref="AC8:AC9" si="11">U8+5%</f>
        <v>0.4</v>
      </c>
      <c r="AD8" s="113">
        <f>AF8</f>
        <v>826200</v>
      </c>
      <c r="AE8" s="113">
        <v>0.0</v>
      </c>
      <c r="AF8" s="113">
        <f t="shared" ref="AF8:AF9" si="12">$B$8-($B$8*AC8)</f>
        <v>826200</v>
      </c>
      <c r="AG8" s="113">
        <f>AF8/AH8</f>
        <v>5100</v>
      </c>
      <c r="AH8" s="116">
        <f>Z8</f>
        <v>162</v>
      </c>
    </row>
    <row r="9" ht="14.25" customHeight="1">
      <c r="A9" s="68"/>
      <c r="B9" s="69"/>
      <c r="C9" s="26"/>
      <c r="D9" s="119">
        <v>3.0</v>
      </c>
      <c r="E9" s="120">
        <f>E8/2</f>
        <v>0.125</v>
      </c>
      <c r="F9" s="121">
        <f>H9/D9</f>
        <v>401625</v>
      </c>
      <c r="G9" s="122">
        <f>(H9-F9)/(D9-1)</f>
        <v>401625</v>
      </c>
      <c r="H9" s="122">
        <f>B8-(B8*E9)</f>
        <v>1204875</v>
      </c>
      <c r="I9" s="122">
        <f>H9/J8</f>
        <v>7437.5</v>
      </c>
      <c r="J9" s="123">
        <v>27.0</v>
      </c>
      <c r="K9" s="26"/>
      <c r="L9" s="119">
        <f>$D$26</f>
        <v>3</v>
      </c>
      <c r="M9" s="120">
        <f t="shared" si="7"/>
        <v>0.175</v>
      </c>
      <c r="N9" s="121">
        <f>P9/L9</f>
        <v>378675</v>
      </c>
      <c r="O9" s="122">
        <f>(P9-N9)/(L9-1)</f>
        <v>378675</v>
      </c>
      <c r="P9" s="122">
        <f t="shared" si="8"/>
        <v>1136025</v>
      </c>
      <c r="Q9" s="122">
        <f>P9/R8</f>
        <v>7012.5</v>
      </c>
      <c r="R9" s="123">
        <v>27.0</v>
      </c>
      <c r="S9" s="26"/>
      <c r="T9" s="119">
        <f>$D$26</f>
        <v>3</v>
      </c>
      <c r="U9" s="120">
        <f t="shared" si="9"/>
        <v>0.225</v>
      </c>
      <c r="V9" s="121">
        <f>X9/T9</f>
        <v>355725</v>
      </c>
      <c r="W9" s="122">
        <f>(X9-V9)/(T9-1)</f>
        <v>355725</v>
      </c>
      <c r="X9" s="122">
        <f t="shared" si="10"/>
        <v>1067175</v>
      </c>
      <c r="Y9" s="122">
        <f>X9/Z8</f>
        <v>6587.5</v>
      </c>
      <c r="Z9" s="123">
        <v>27.0</v>
      </c>
      <c r="AA9" s="26"/>
      <c r="AB9" s="119">
        <f>$D$26</f>
        <v>3</v>
      </c>
      <c r="AC9" s="120">
        <f t="shared" si="11"/>
        <v>0.275</v>
      </c>
      <c r="AD9" s="121">
        <f>AF9/AB9</f>
        <v>332775</v>
      </c>
      <c r="AE9" s="122">
        <f>(AF9-AD9)/(AB9-1)</f>
        <v>332775</v>
      </c>
      <c r="AF9" s="122">
        <f t="shared" si="12"/>
        <v>998325</v>
      </c>
      <c r="AG9" s="122">
        <f>AF9/AH8</f>
        <v>6162.5</v>
      </c>
      <c r="AH9" s="123">
        <v>27.0</v>
      </c>
    </row>
    <row r="10" ht="7.5" customHeight="1">
      <c r="A10" s="100"/>
      <c r="B10" s="101"/>
      <c r="C10" s="26"/>
      <c r="D10" s="102"/>
      <c r="E10" s="103"/>
      <c r="F10" s="104"/>
      <c r="G10" s="105"/>
      <c r="H10" s="105"/>
      <c r="I10" s="106"/>
      <c r="J10" s="107"/>
      <c r="K10" s="26"/>
      <c r="L10" s="102"/>
      <c r="M10" s="103"/>
      <c r="N10" s="104"/>
      <c r="O10" s="105"/>
      <c r="P10" s="105"/>
      <c r="Q10" s="105"/>
      <c r="R10" s="107"/>
      <c r="S10" s="26"/>
      <c r="T10" s="102"/>
      <c r="U10" s="103"/>
      <c r="V10" s="104"/>
      <c r="W10" s="105"/>
      <c r="X10" s="105"/>
      <c r="Y10" s="105"/>
      <c r="Z10" s="107"/>
      <c r="AA10" s="26"/>
      <c r="AB10" s="102"/>
      <c r="AC10" s="103"/>
      <c r="AD10" s="104"/>
      <c r="AE10" s="105"/>
      <c r="AF10" s="105"/>
      <c r="AG10" s="105"/>
      <c r="AH10" s="107"/>
    </row>
    <row r="11" ht="14.25" customHeight="1">
      <c r="A11" s="138" t="s">
        <v>51</v>
      </c>
      <c r="B11" s="139">
        <v>1920000.0</v>
      </c>
      <c r="C11" s="26"/>
      <c r="D11" s="140">
        <v>1.0</v>
      </c>
      <c r="E11" s="141">
        <f>E8+15%</f>
        <v>0.4</v>
      </c>
      <c r="F11" s="142">
        <f>H11</f>
        <v>1152000</v>
      </c>
      <c r="G11" s="142">
        <v>0.0</v>
      </c>
      <c r="H11" s="142">
        <f>B11-(B11*E11)</f>
        <v>1152000</v>
      </c>
      <c r="I11" s="143">
        <f>H11/J11</f>
        <v>6471.910112</v>
      </c>
      <c r="J11" s="144">
        <v>178.0</v>
      </c>
      <c r="K11" s="26"/>
      <c r="L11" s="140">
        <f>$D$43</f>
        <v>1</v>
      </c>
      <c r="M11" s="141">
        <f t="shared" ref="M11:M12" si="13">E11+5%</f>
        <v>0.45</v>
      </c>
      <c r="N11" s="142">
        <f>P11</f>
        <v>1056000</v>
      </c>
      <c r="O11" s="142">
        <v>0.0</v>
      </c>
      <c r="P11" s="142">
        <f t="shared" ref="P11:P12" si="14">$B$11-($B$11*M11)</f>
        <v>1056000</v>
      </c>
      <c r="Q11" s="142">
        <f>P11/R11</f>
        <v>5932.58427</v>
      </c>
      <c r="R11" s="144">
        <f>J11</f>
        <v>178</v>
      </c>
      <c r="S11" s="26"/>
      <c r="T11" s="140">
        <f>$D$43</f>
        <v>1</v>
      </c>
      <c r="U11" s="141">
        <f t="shared" ref="U11:U12" si="15">M11+5%</f>
        <v>0.5</v>
      </c>
      <c r="V11" s="142">
        <f>X11</f>
        <v>960000</v>
      </c>
      <c r="W11" s="142">
        <v>0.0</v>
      </c>
      <c r="X11" s="142">
        <f t="shared" ref="X11:X12" si="16">$B$11-($B$11*U11)</f>
        <v>960000</v>
      </c>
      <c r="Y11" s="142">
        <f>X11/Z11</f>
        <v>5393.258427</v>
      </c>
      <c r="Z11" s="144">
        <f>R11</f>
        <v>178</v>
      </c>
      <c r="AA11" s="26"/>
      <c r="AB11" s="140">
        <f>$D$43</f>
        <v>1</v>
      </c>
      <c r="AC11" s="141">
        <f t="shared" ref="AC11:AC12" si="17">U11+5%</f>
        <v>0.55</v>
      </c>
      <c r="AD11" s="142">
        <f>AF11</f>
        <v>864000</v>
      </c>
      <c r="AE11" s="142">
        <v>0.0</v>
      </c>
      <c r="AF11" s="142">
        <f t="shared" ref="AF11:AF12" si="18">$B$11-($B$11*AC11)</f>
        <v>864000</v>
      </c>
      <c r="AG11" s="142">
        <f>AF11/AH11</f>
        <v>4853.932584</v>
      </c>
      <c r="AH11" s="144">
        <f>Z11</f>
        <v>178</v>
      </c>
    </row>
    <row r="12" ht="14.25" customHeight="1">
      <c r="A12" s="68"/>
      <c r="B12" s="69"/>
      <c r="C12" s="26"/>
      <c r="D12" s="148">
        <v>3.0</v>
      </c>
      <c r="E12" s="149">
        <f>E11/2</f>
        <v>0.2</v>
      </c>
      <c r="F12" s="150">
        <f>H12/D12</f>
        <v>512000</v>
      </c>
      <c r="G12" s="151">
        <f>(H12-F12)/(D12-1)</f>
        <v>512000</v>
      </c>
      <c r="H12" s="151">
        <f>B11-(B11*E12)</f>
        <v>1536000</v>
      </c>
      <c r="I12" s="151">
        <f>H12/J11</f>
        <v>8629.213483</v>
      </c>
      <c r="J12" s="153">
        <f>J11/D12</f>
        <v>59.33333333</v>
      </c>
      <c r="K12" s="26"/>
      <c r="L12" s="148">
        <f>$D$44</f>
        <v>3</v>
      </c>
      <c r="M12" s="149">
        <f t="shared" si="13"/>
        <v>0.25</v>
      </c>
      <c r="N12" s="150">
        <f>P12/L12</f>
        <v>480000</v>
      </c>
      <c r="O12" s="151">
        <f>(P12-N12)/(L12-1)</f>
        <v>480000</v>
      </c>
      <c r="P12" s="151">
        <f t="shared" si="14"/>
        <v>1440000</v>
      </c>
      <c r="Q12" s="151">
        <f>P12/R11</f>
        <v>8089.88764</v>
      </c>
      <c r="R12" s="153">
        <v>27.0</v>
      </c>
      <c r="S12" s="26"/>
      <c r="T12" s="148">
        <f>$D$44</f>
        <v>3</v>
      </c>
      <c r="U12" s="149">
        <f t="shared" si="15"/>
        <v>0.3</v>
      </c>
      <c r="V12" s="150">
        <f>X12/T12</f>
        <v>448000</v>
      </c>
      <c r="W12" s="151">
        <f>(X12-V12)/(T12-1)</f>
        <v>448000</v>
      </c>
      <c r="X12" s="151">
        <f t="shared" si="16"/>
        <v>1344000</v>
      </c>
      <c r="Y12" s="151">
        <f>X12/Z11</f>
        <v>7550.561798</v>
      </c>
      <c r="Z12" s="153">
        <v>27.0</v>
      </c>
      <c r="AA12" s="26"/>
      <c r="AB12" s="148">
        <f>$D$44</f>
        <v>3</v>
      </c>
      <c r="AC12" s="149">
        <f t="shared" si="17"/>
        <v>0.35</v>
      </c>
      <c r="AD12" s="150">
        <f>AF12/AB12</f>
        <v>416000</v>
      </c>
      <c r="AE12" s="151">
        <f>(AF12-AD12)/(AB12-1)</f>
        <v>416000</v>
      </c>
      <c r="AF12" s="151">
        <f t="shared" si="18"/>
        <v>1248000</v>
      </c>
      <c r="AG12" s="151">
        <f>AF12/AH11</f>
        <v>7011.235955</v>
      </c>
      <c r="AH12" s="153">
        <v>27.0</v>
      </c>
    </row>
    <row r="13" ht="7.5" customHeight="1">
      <c r="A13" s="100"/>
      <c r="B13" s="101"/>
      <c r="C13" s="26"/>
      <c r="D13" s="102"/>
      <c r="E13" s="103"/>
      <c r="F13" s="104"/>
      <c r="G13" s="105"/>
      <c r="H13" s="105"/>
      <c r="I13" s="106"/>
      <c r="J13" s="107"/>
      <c r="K13" s="26"/>
      <c r="L13" s="102"/>
      <c r="M13" s="103"/>
      <c r="N13" s="104"/>
      <c r="O13" s="105"/>
      <c r="P13" s="105"/>
      <c r="Q13" s="105"/>
      <c r="R13" s="107"/>
      <c r="S13" s="26"/>
      <c r="T13" s="102"/>
      <c r="U13" s="103"/>
      <c r="V13" s="104"/>
      <c r="W13" s="105"/>
      <c r="X13" s="105"/>
      <c r="Y13" s="105"/>
      <c r="Z13" s="107"/>
      <c r="AA13" s="26"/>
      <c r="AB13" s="102"/>
      <c r="AC13" s="103"/>
      <c r="AD13" s="104"/>
      <c r="AE13" s="105"/>
      <c r="AF13" s="105"/>
      <c r="AG13" s="105"/>
      <c r="AH13" s="107"/>
    </row>
    <row r="14" ht="14.25" customHeight="1">
      <c r="A14" s="154" t="s">
        <v>54</v>
      </c>
      <c r="B14" s="155">
        <v>1920000.0</v>
      </c>
      <c r="C14" s="26"/>
      <c r="D14" s="156">
        <v>1.0</v>
      </c>
      <c r="E14" s="157">
        <f>E11+15%</f>
        <v>0.55</v>
      </c>
      <c r="F14" s="158">
        <f>H14</f>
        <v>864000</v>
      </c>
      <c r="G14" s="158">
        <v>0.0</v>
      </c>
      <c r="H14" s="158">
        <f>B14-(B14*E14)</f>
        <v>864000</v>
      </c>
      <c r="I14" s="159">
        <f>H14/J14</f>
        <v>4277.227723</v>
      </c>
      <c r="J14" s="160">
        <v>202.0</v>
      </c>
      <c r="K14" s="26"/>
      <c r="L14" s="156">
        <f>$D$43</f>
        <v>1</v>
      </c>
      <c r="M14" s="157">
        <f t="shared" ref="M14:M15" si="19">E14+5%</f>
        <v>0.6</v>
      </c>
      <c r="N14" s="158">
        <f>P14</f>
        <v>768000</v>
      </c>
      <c r="O14" s="158">
        <v>0.0</v>
      </c>
      <c r="P14" s="158">
        <f t="shared" ref="P14:P15" si="20">$B$14-($B$14*M14)</f>
        <v>768000</v>
      </c>
      <c r="Q14" s="159">
        <f>P14/R14</f>
        <v>3801.980198</v>
      </c>
      <c r="R14" s="160">
        <f>J14</f>
        <v>202</v>
      </c>
      <c r="S14" s="26"/>
      <c r="T14" s="156">
        <f>$D$43</f>
        <v>1</v>
      </c>
      <c r="U14" s="157">
        <f t="shared" ref="U14:U15" si="21">M14+5%</f>
        <v>0.65</v>
      </c>
      <c r="V14" s="158">
        <f>X14</f>
        <v>672000</v>
      </c>
      <c r="W14" s="158">
        <v>0.0</v>
      </c>
      <c r="X14" s="158">
        <f t="shared" ref="X14:X15" si="22">$B$14-($B$14*U14)</f>
        <v>672000</v>
      </c>
      <c r="Y14" s="159">
        <f>X14/Z14</f>
        <v>3326.732673</v>
      </c>
      <c r="Z14" s="160">
        <f>R14</f>
        <v>202</v>
      </c>
      <c r="AA14" s="26"/>
      <c r="AB14" s="156">
        <f>$D$43</f>
        <v>1</v>
      </c>
      <c r="AC14" s="157">
        <f t="shared" ref="AC14:AC15" si="23">U14+5%</f>
        <v>0.7</v>
      </c>
      <c r="AD14" s="158">
        <f>AF14</f>
        <v>576000</v>
      </c>
      <c r="AE14" s="158">
        <v>0.0</v>
      </c>
      <c r="AF14" s="158">
        <f t="shared" ref="AF14:AF15" si="24">$B$14-($B$14*AC14)</f>
        <v>576000</v>
      </c>
      <c r="AG14" s="159">
        <f>AF14/AH14</f>
        <v>2851.485149</v>
      </c>
      <c r="AH14" s="160">
        <f>Z14</f>
        <v>202</v>
      </c>
    </row>
    <row r="15" ht="14.25" customHeight="1">
      <c r="A15" s="68"/>
      <c r="B15" s="69"/>
      <c r="C15" s="26"/>
      <c r="D15" s="161">
        <v>3.0</v>
      </c>
      <c r="E15" s="162">
        <f>E14/2</f>
        <v>0.275</v>
      </c>
      <c r="F15" s="163">
        <f>H15/D15</f>
        <v>464000</v>
      </c>
      <c r="G15" s="164">
        <f>(H15-F15)/(D15-1)</f>
        <v>464000</v>
      </c>
      <c r="H15" s="164">
        <f>B14-(B14*E15)</f>
        <v>1392000</v>
      </c>
      <c r="I15" s="164">
        <f>H15/J14</f>
        <v>6891.089109</v>
      </c>
      <c r="J15" s="165">
        <f>J14/D15</f>
        <v>67.33333333</v>
      </c>
      <c r="K15" s="26"/>
      <c r="L15" s="161">
        <f>$D$44</f>
        <v>3</v>
      </c>
      <c r="M15" s="162">
        <f t="shared" si="19"/>
        <v>0.325</v>
      </c>
      <c r="N15" s="163">
        <f>P15/L15</f>
        <v>432000</v>
      </c>
      <c r="O15" s="164">
        <f>(P15-N15)/(L15-1)</f>
        <v>432000</v>
      </c>
      <c r="P15" s="164">
        <f t="shared" si="20"/>
        <v>1296000</v>
      </c>
      <c r="Q15" s="164">
        <f>P15/R14</f>
        <v>6415.841584</v>
      </c>
      <c r="R15" s="165">
        <v>27.0</v>
      </c>
      <c r="S15" s="26"/>
      <c r="T15" s="161">
        <f>$D$44</f>
        <v>3</v>
      </c>
      <c r="U15" s="162">
        <f t="shared" si="21"/>
        <v>0.375</v>
      </c>
      <c r="V15" s="163">
        <f>X15/T15</f>
        <v>400000</v>
      </c>
      <c r="W15" s="164">
        <f>(X15-V15)/(T15-1)</f>
        <v>400000</v>
      </c>
      <c r="X15" s="164">
        <f t="shared" si="22"/>
        <v>1200000</v>
      </c>
      <c r="Y15" s="164">
        <f>X15/Z14</f>
        <v>5940.594059</v>
      </c>
      <c r="Z15" s="165">
        <v>27.0</v>
      </c>
      <c r="AA15" s="26"/>
      <c r="AB15" s="161">
        <f>$D$44</f>
        <v>3</v>
      </c>
      <c r="AC15" s="162">
        <f t="shared" si="23"/>
        <v>0.425</v>
      </c>
      <c r="AD15" s="163">
        <f>AF15/AB15</f>
        <v>368000</v>
      </c>
      <c r="AE15" s="164">
        <f>(AF15-AD15)/(AB15-1)</f>
        <v>368000</v>
      </c>
      <c r="AF15" s="164">
        <f t="shared" si="24"/>
        <v>1104000</v>
      </c>
      <c r="AG15" s="164">
        <f>AF15/AH14</f>
        <v>5465.346535</v>
      </c>
      <c r="AH15" s="165">
        <v>27.0</v>
      </c>
    </row>
    <row r="16" ht="7.5" customHeight="1">
      <c r="A16" s="100"/>
      <c r="B16" s="101"/>
      <c r="C16" s="26"/>
      <c r="D16" s="102"/>
      <c r="E16" s="103"/>
      <c r="F16" s="104"/>
      <c r="G16" s="105"/>
      <c r="H16" s="105"/>
      <c r="I16" s="106"/>
      <c r="J16" s="107"/>
      <c r="K16" s="26"/>
      <c r="L16" s="102"/>
      <c r="M16" s="103"/>
      <c r="N16" s="104"/>
      <c r="O16" s="105"/>
      <c r="P16" s="105"/>
      <c r="Q16" s="105"/>
      <c r="R16" s="107"/>
      <c r="S16" s="26"/>
      <c r="T16" s="102"/>
      <c r="U16" s="103"/>
      <c r="V16" s="104"/>
      <c r="W16" s="105"/>
      <c r="X16" s="105"/>
      <c r="Y16" s="105"/>
      <c r="Z16" s="107"/>
      <c r="AA16" s="26"/>
      <c r="AB16" s="102"/>
      <c r="AC16" s="103"/>
      <c r="AD16" s="104"/>
      <c r="AE16" s="105"/>
      <c r="AF16" s="105"/>
      <c r="AG16" s="105"/>
      <c r="AH16" s="107"/>
    </row>
    <row r="17">
      <c r="A17" s="166" t="s">
        <v>56</v>
      </c>
      <c r="B17" s="167">
        <v>1920000.0</v>
      </c>
      <c r="C17" s="26"/>
      <c r="D17" s="168">
        <v>1.0</v>
      </c>
      <c r="E17" s="169">
        <f>E14+15%</f>
        <v>0.7</v>
      </c>
      <c r="F17" s="170">
        <f>H17</f>
        <v>576000</v>
      </c>
      <c r="G17" s="170">
        <v>0.0</v>
      </c>
      <c r="H17" s="170">
        <f>B17-(B17*E17)</f>
        <v>576000</v>
      </c>
      <c r="I17" s="171">
        <f>H17/J17</f>
        <v>2851.485149</v>
      </c>
      <c r="J17" s="172">
        <v>202.0</v>
      </c>
      <c r="K17" s="26"/>
      <c r="L17" s="168">
        <f>$D$70</f>
        <v>1</v>
      </c>
      <c r="M17" s="169">
        <f>E17+5%</f>
        <v>0.75</v>
      </c>
      <c r="N17" s="170">
        <f>P17</f>
        <v>480000</v>
      </c>
      <c r="O17" s="170">
        <v>0.0</v>
      </c>
      <c r="P17" s="170">
        <f>$B$17-($B$17*M17)</f>
        <v>480000</v>
      </c>
      <c r="Q17" s="171">
        <f>P17/R17</f>
        <v>2376.237624</v>
      </c>
      <c r="R17" s="172">
        <f>J17</f>
        <v>202</v>
      </c>
      <c r="S17" s="26"/>
      <c r="T17" s="168">
        <f>$D$70</f>
        <v>1</v>
      </c>
      <c r="U17" s="169">
        <f>M17+5%</f>
        <v>0.8</v>
      </c>
      <c r="V17" s="170">
        <f>X17</f>
        <v>384000</v>
      </c>
      <c r="W17" s="170">
        <v>0.0</v>
      </c>
      <c r="X17" s="170">
        <f>$B$17-($B$17*U17)</f>
        <v>384000</v>
      </c>
      <c r="Y17" s="171">
        <f>X17/Z17</f>
        <v>1900.990099</v>
      </c>
      <c r="Z17" s="172">
        <f>R17</f>
        <v>202</v>
      </c>
      <c r="AA17" s="26"/>
      <c r="AB17" s="168">
        <f>$D$70</f>
        <v>1</v>
      </c>
      <c r="AC17" s="169">
        <f>U17</f>
        <v>0.8</v>
      </c>
      <c r="AD17" s="170">
        <f>AF17</f>
        <v>384000</v>
      </c>
      <c r="AE17" s="170">
        <v>0.0</v>
      </c>
      <c r="AF17" s="170">
        <f>$B$70-($B$70*AC17)</f>
        <v>384000</v>
      </c>
      <c r="AG17" s="171">
        <f>AF17/AH17</f>
        <v>1900.990099</v>
      </c>
      <c r="AH17" s="172">
        <f>Z17</f>
        <v>202</v>
      </c>
    </row>
    <row r="18" ht="5.25" customHeight="1">
      <c r="A18" s="175"/>
      <c r="B18" s="176"/>
      <c r="C18" s="177"/>
      <c r="D18" s="178"/>
      <c r="E18" s="179"/>
      <c r="F18" s="180"/>
      <c r="G18" s="181"/>
      <c r="H18" s="181"/>
      <c r="I18" s="183"/>
      <c r="J18" s="178"/>
      <c r="K18" s="177"/>
      <c r="L18" s="178"/>
      <c r="M18" s="179"/>
      <c r="N18" s="180"/>
      <c r="O18" s="181"/>
      <c r="P18" s="181"/>
      <c r="Q18" s="183"/>
      <c r="R18" s="178"/>
      <c r="S18" s="177"/>
      <c r="T18" s="178"/>
      <c r="U18" s="179"/>
      <c r="V18" s="180"/>
      <c r="W18" s="181"/>
      <c r="X18" s="181"/>
      <c r="Y18" s="183"/>
      <c r="Z18" s="178"/>
      <c r="AA18" s="177"/>
      <c r="AB18" s="178"/>
      <c r="AC18" s="179"/>
      <c r="AD18" s="180"/>
      <c r="AE18" s="181"/>
      <c r="AF18" s="181"/>
      <c r="AG18" s="183"/>
      <c r="AH18" s="178"/>
    </row>
    <row r="19" ht="14.25" customHeight="1">
      <c r="A19" s="175"/>
      <c r="B19" s="176"/>
      <c r="C19" s="177"/>
      <c r="D19" s="178"/>
      <c r="E19" s="179"/>
      <c r="F19" s="184" t="s">
        <v>59</v>
      </c>
      <c r="G19" s="185" t="s">
        <v>60</v>
      </c>
      <c r="H19" s="186">
        <f>H5+H8+H11+H14+H17</f>
        <v>4603050</v>
      </c>
      <c r="I19" s="183"/>
      <c r="J19" s="178"/>
      <c r="K19" s="177"/>
      <c r="L19" s="178"/>
      <c r="M19" s="179"/>
      <c r="N19" s="184" t="s">
        <v>59</v>
      </c>
      <c r="O19" s="185" t="s">
        <v>60</v>
      </c>
      <c r="P19" s="186">
        <f>P5+P8+P11+P14+P17</f>
        <v>4191850</v>
      </c>
      <c r="Q19" s="183"/>
      <c r="R19" s="178"/>
      <c r="S19" s="177"/>
      <c r="T19" s="178"/>
      <c r="U19" s="179"/>
      <c r="V19" s="184" t="s">
        <v>59</v>
      </c>
      <c r="W19" s="185" t="s">
        <v>60</v>
      </c>
      <c r="X19" s="186">
        <f>X5+X8+X11+X14+X17</f>
        <v>3780650</v>
      </c>
      <c r="Y19" s="183"/>
      <c r="Z19" s="178"/>
      <c r="AA19" s="177"/>
      <c r="AB19" s="178"/>
      <c r="AC19" s="179"/>
      <c r="AD19" s="184" t="s">
        <v>59</v>
      </c>
      <c r="AE19" s="185" t="s">
        <v>60</v>
      </c>
      <c r="AF19" s="186">
        <f>AF5+AF8+AF11+AF14+AF17</f>
        <v>3465450</v>
      </c>
      <c r="AG19" s="183"/>
      <c r="AH19" s="178"/>
    </row>
    <row r="20" ht="14.25" customHeight="1">
      <c r="A20" s="175"/>
      <c r="B20" s="176"/>
      <c r="C20" s="177"/>
      <c r="D20" s="178"/>
      <c r="E20" s="179"/>
      <c r="F20" s="96"/>
      <c r="G20" s="186" t="s">
        <v>61</v>
      </c>
      <c r="H20" s="186">
        <f>H6+H9+H12+H15+H17</f>
        <v>5795875</v>
      </c>
      <c r="I20" s="183"/>
      <c r="J20" s="178"/>
      <c r="K20" s="177"/>
      <c r="L20" s="178"/>
      <c r="M20" s="179"/>
      <c r="N20" s="96"/>
      <c r="O20" s="186" t="s">
        <v>61</v>
      </c>
      <c r="P20" s="186">
        <f>P6+P9+P12+P15+P17</f>
        <v>5384675</v>
      </c>
      <c r="Q20" s="183"/>
      <c r="R20" s="178"/>
      <c r="S20" s="177"/>
      <c r="T20" s="178"/>
      <c r="U20" s="179"/>
      <c r="V20" s="96"/>
      <c r="W20" s="186" t="s">
        <v>61</v>
      </c>
      <c r="X20" s="186">
        <f>X6+X9+X12+X15</f>
        <v>4589475</v>
      </c>
      <c r="Y20" s="183"/>
      <c r="Z20" s="178"/>
      <c r="AA20" s="177"/>
      <c r="AB20" s="178"/>
      <c r="AC20" s="179"/>
      <c r="AD20" s="96"/>
      <c r="AE20" s="186" t="s">
        <v>61</v>
      </c>
      <c r="AF20" s="186">
        <f>AF6+AF9+AF12+AF15</f>
        <v>4274275</v>
      </c>
      <c r="AG20" s="183"/>
      <c r="AH20" s="178"/>
    </row>
    <row r="21" ht="14.25" customHeight="1">
      <c r="A21" s="175"/>
      <c r="B21" s="176"/>
      <c r="C21" s="177"/>
      <c r="D21" s="178"/>
      <c r="E21" s="179"/>
      <c r="F21" s="180"/>
      <c r="G21" s="181"/>
      <c r="H21" s="181"/>
      <c r="I21" s="183"/>
      <c r="J21" s="178"/>
      <c r="K21" s="177"/>
      <c r="L21" s="178"/>
      <c r="M21" s="179"/>
      <c r="N21" s="180"/>
      <c r="O21" s="181"/>
      <c r="P21" s="181"/>
      <c r="Q21" s="183"/>
      <c r="R21" s="178"/>
      <c r="S21" s="177"/>
      <c r="T21" s="178"/>
      <c r="U21" s="179"/>
      <c r="V21" s="180"/>
      <c r="W21" s="181"/>
      <c r="X21" s="181"/>
      <c r="Y21" s="183"/>
      <c r="Z21" s="178"/>
      <c r="AA21" s="177"/>
      <c r="AB21" s="178"/>
      <c r="AC21" s="179"/>
      <c r="AD21" s="180"/>
      <c r="AE21" s="181"/>
      <c r="AF21" s="181"/>
      <c r="AG21" s="183"/>
      <c r="AH21" s="178"/>
    </row>
    <row r="22" ht="14.25" customHeight="1">
      <c r="A22" s="188" t="s">
        <v>63</v>
      </c>
      <c r="B22" s="8"/>
      <c r="C22" s="26"/>
      <c r="D22" s="191" t="s">
        <v>64</v>
      </c>
      <c r="E22" s="192"/>
      <c r="F22" s="192"/>
      <c r="G22" s="192"/>
      <c r="H22" s="192"/>
      <c r="I22" s="192"/>
      <c r="J22" s="8"/>
      <c r="K22" s="26"/>
      <c r="L22" s="194" t="s">
        <v>65</v>
      </c>
      <c r="M22" s="192"/>
      <c r="N22" s="192"/>
      <c r="O22" s="192"/>
      <c r="P22" s="192"/>
      <c r="Q22" s="192"/>
      <c r="R22" s="8"/>
      <c r="S22" s="26"/>
      <c r="T22" s="196" t="s">
        <v>66</v>
      </c>
      <c r="U22" s="192"/>
      <c r="V22" s="192"/>
      <c r="W22" s="192"/>
      <c r="X22" s="192"/>
      <c r="Y22" s="192"/>
      <c r="Z22" s="8"/>
      <c r="AA22" s="26"/>
      <c r="AB22" s="197" t="s">
        <v>67</v>
      </c>
      <c r="AC22" s="192"/>
      <c r="AD22" s="192"/>
      <c r="AE22" s="192"/>
      <c r="AF22" s="192"/>
      <c r="AG22" s="192"/>
      <c r="AH22" s="8"/>
    </row>
    <row r="23" ht="14.25" customHeight="1">
      <c r="A23" s="21"/>
      <c r="B23" s="22"/>
      <c r="C23" s="26"/>
      <c r="D23" s="21"/>
      <c r="E23" s="200"/>
      <c r="F23" s="200"/>
      <c r="G23" s="200"/>
      <c r="H23" s="200"/>
      <c r="I23" s="200"/>
      <c r="J23" s="22"/>
      <c r="K23" s="26"/>
      <c r="L23" s="21"/>
      <c r="M23" s="200"/>
      <c r="N23" s="200"/>
      <c r="O23" s="200"/>
      <c r="P23" s="200"/>
      <c r="Q23" s="200"/>
      <c r="R23" s="22"/>
      <c r="S23" s="26"/>
      <c r="T23" s="21"/>
      <c r="U23" s="200"/>
      <c r="V23" s="200"/>
      <c r="W23" s="200"/>
      <c r="X23" s="200"/>
      <c r="Y23" s="200"/>
      <c r="Z23" s="22"/>
      <c r="AA23" s="26"/>
      <c r="AB23" s="21"/>
      <c r="AC23" s="200"/>
      <c r="AD23" s="200"/>
      <c r="AE23" s="200"/>
      <c r="AF23" s="200"/>
      <c r="AG23" s="200"/>
      <c r="AH23" s="22"/>
    </row>
    <row r="24" ht="15.75" customHeight="1">
      <c r="A24" s="51" t="s">
        <v>12</v>
      </c>
      <c r="B24" s="51" t="s">
        <v>13</v>
      </c>
      <c r="C24" s="52"/>
      <c r="D24" s="53" t="s">
        <v>14</v>
      </c>
      <c r="E24" s="54" t="s">
        <v>16</v>
      </c>
      <c r="F24" s="55" t="s">
        <v>17</v>
      </c>
      <c r="G24" s="55" t="s">
        <v>18</v>
      </c>
      <c r="H24" s="55" t="s">
        <v>19</v>
      </c>
      <c r="I24" s="58" t="s">
        <v>20</v>
      </c>
      <c r="J24" s="60" t="s">
        <v>22</v>
      </c>
      <c r="K24" s="52"/>
      <c r="L24" s="51" t="s">
        <v>14</v>
      </c>
      <c r="M24" s="62" t="s">
        <v>16</v>
      </c>
      <c r="N24" s="51" t="s">
        <v>17</v>
      </c>
      <c r="O24" s="51" t="s">
        <v>18</v>
      </c>
      <c r="P24" s="51" t="s">
        <v>19</v>
      </c>
      <c r="Q24" s="64" t="s">
        <v>20</v>
      </c>
      <c r="R24" s="66" t="s">
        <v>22</v>
      </c>
      <c r="S24" s="52"/>
      <c r="T24" s="51" t="s">
        <v>14</v>
      </c>
      <c r="U24" s="62" t="s">
        <v>16</v>
      </c>
      <c r="V24" s="51" t="s">
        <v>17</v>
      </c>
      <c r="W24" s="51" t="s">
        <v>18</v>
      </c>
      <c r="X24" s="51" t="s">
        <v>19</v>
      </c>
      <c r="Y24" s="64" t="s">
        <v>20</v>
      </c>
      <c r="Z24" s="66" t="s">
        <v>22</v>
      </c>
      <c r="AA24" s="52"/>
      <c r="AB24" s="51" t="s">
        <v>14</v>
      </c>
      <c r="AC24" s="62" t="s">
        <v>16</v>
      </c>
      <c r="AD24" s="51" t="s">
        <v>17</v>
      </c>
      <c r="AE24" s="51" t="s">
        <v>18</v>
      </c>
      <c r="AF24" s="51" t="s">
        <v>19</v>
      </c>
      <c r="AG24" s="64" t="s">
        <v>20</v>
      </c>
      <c r="AH24" s="66" t="s">
        <v>22</v>
      </c>
    </row>
    <row r="25" ht="14.25" customHeight="1">
      <c r="A25" s="41" t="s">
        <v>47</v>
      </c>
      <c r="B25" s="43">
        <v>1377000.0</v>
      </c>
      <c r="C25" s="26"/>
      <c r="D25" s="45">
        <v>1.0</v>
      </c>
      <c r="E25" s="46">
        <v>0.1</v>
      </c>
      <c r="F25" s="48">
        <f>H25</f>
        <v>1239300</v>
      </c>
      <c r="G25" s="48">
        <v>0.0</v>
      </c>
      <c r="H25" s="48">
        <f>B25-(B25*E25)</f>
        <v>1239300</v>
      </c>
      <c r="I25" s="80">
        <f>H25/J25</f>
        <v>6196.5</v>
      </c>
      <c r="J25" s="50">
        <v>200.0</v>
      </c>
      <c r="K25" s="26"/>
      <c r="L25" s="45">
        <f>$D$25</f>
        <v>1</v>
      </c>
      <c r="M25" s="46">
        <f t="shared" ref="M25:M26" si="25">E25+5%</f>
        <v>0.15</v>
      </c>
      <c r="N25" s="48">
        <f>P25</f>
        <v>1170450</v>
      </c>
      <c r="O25" s="48">
        <v>0.0</v>
      </c>
      <c r="P25" s="48">
        <f t="shared" ref="P25:P26" si="26">$B$25-($B$25*M25)</f>
        <v>1170450</v>
      </c>
      <c r="Q25" s="48">
        <f>P25/R25</f>
        <v>5852.25</v>
      </c>
      <c r="R25" s="50">
        <f>J25</f>
        <v>200</v>
      </c>
      <c r="S25" s="26"/>
      <c r="T25" s="45">
        <f>$D$25</f>
        <v>1</v>
      </c>
      <c r="U25" s="46">
        <f t="shared" ref="U25:U26" si="27">M25+5%</f>
        <v>0.2</v>
      </c>
      <c r="V25" s="48">
        <f>X25</f>
        <v>1101600</v>
      </c>
      <c r="W25" s="48">
        <v>0.0</v>
      </c>
      <c r="X25" s="48">
        <f t="shared" ref="X25:X26" si="28">$B$25-($B$25*U25)</f>
        <v>1101600</v>
      </c>
      <c r="Y25" s="48">
        <f>X25/Z25</f>
        <v>5508</v>
      </c>
      <c r="Z25" s="50">
        <f>R25</f>
        <v>200</v>
      </c>
      <c r="AA25" s="26"/>
      <c r="AB25" s="45">
        <f>$D$25</f>
        <v>1</v>
      </c>
      <c r="AC25" s="46">
        <f t="shared" ref="AC25:AC26" si="29">U25+5%</f>
        <v>0.25</v>
      </c>
      <c r="AD25" s="48">
        <f>AF25</f>
        <v>1032750</v>
      </c>
      <c r="AE25" s="48">
        <v>0.0</v>
      </c>
      <c r="AF25" s="48">
        <f t="shared" ref="AF25:AF26" si="30">$B$25-($B$25*AC25)</f>
        <v>1032750</v>
      </c>
      <c r="AG25" s="48">
        <f>AF25/AH25</f>
        <v>5163.75</v>
      </c>
      <c r="AH25" s="50">
        <f>Z25</f>
        <v>200</v>
      </c>
    </row>
    <row r="26" ht="14.25" customHeight="1">
      <c r="A26" s="68"/>
      <c r="B26" s="69"/>
      <c r="C26" s="26"/>
      <c r="D26" s="71">
        <v>3.0</v>
      </c>
      <c r="E26" s="72">
        <v>0.0</v>
      </c>
      <c r="F26" s="73">
        <f>H26/D26</f>
        <v>459000</v>
      </c>
      <c r="G26" s="74">
        <f>(H26-F26)/(D26-1)</f>
        <v>459000</v>
      </c>
      <c r="H26" s="74">
        <f>B25-(B25*E26)</f>
        <v>1377000</v>
      </c>
      <c r="I26" s="74">
        <f>H26/J25</f>
        <v>6885</v>
      </c>
      <c r="J26" s="75">
        <v>27.0</v>
      </c>
      <c r="K26" s="26"/>
      <c r="L26" s="71">
        <f>$D$26</f>
        <v>3</v>
      </c>
      <c r="M26" s="72">
        <f t="shared" si="25"/>
        <v>0.05</v>
      </c>
      <c r="N26" s="73">
        <f>P26/L26</f>
        <v>436050</v>
      </c>
      <c r="O26" s="74">
        <f>(P26-N26)/(L26-1)</f>
        <v>436050</v>
      </c>
      <c r="P26" s="74">
        <f t="shared" si="26"/>
        <v>1308150</v>
      </c>
      <c r="Q26" s="74">
        <f>P26/R25</f>
        <v>6540.75</v>
      </c>
      <c r="R26" s="75">
        <v>27.0</v>
      </c>
      <c r="S26" s="26"/>
      <c r="T26" s="71">
        <f>$D$26</f>
        <v>3</v>
      </c>
      <c r="U26" s="72">
        <f t="shared" si="27"/>
        <v>0.1</v>
      </c>
      <c r="V26" s="73">
        <f>X26/T26</f>
        <v>413100</v>
      </c>
      <c r="W26" s="74">
        <f>(X26-V26)/(T26-1)</f>
        <v>413100</v>
      </c>
      <c r="X26" s="74">
        <f t="shared" si="28"/>
        <v>1239300</v>
      </c>
      <c r="Y26" s="74">
        <f>X26/Z25</f>
        <v>6196.5</v>
      </c>
      <c r="Z26" s="75">
        <v>27.0</v>
      </c>
      <c r="AA26" s="26"/>
      <c r="AB26" s="71">
        <f>$D$26</f>
        <v>3</v>
      </c>
      <c r="AC26" s="72">
        <f t="shared" si="29"/>
        <v>0.15</v>
      </c>
      <c r="AD26" s="73">
        <f>AF26/AB26</f>
        <v>390150</v>
      </c>
      <c r="AE26" s="74">
        <f>(AF26-AD26)/(AB26-1)</f>
        <v>390150</v>
      </c>
      <c r="AF26" s="74">
        <f t="shared" si="30"/>
        <v>1170450</v>
      </c>
      <c r="AG26" s="74">
        <f>AF26/AH25</f>
        <v>5852.25</v>
      </c>
      <c r="AH26" s="75">
        <v>27.0</v>
      </c>
    </row>
    <row r="27" ht="7.5" customHeight="1">
      <c r="A27" s="100"/>
      <c r="B27" s="101"/>
      <c r="C27" s="26"/>
      <c r="D27" s="102"/>
      <c r="E27" s="103"/>
      <c r="F27" s="104"/>
      <c r="G27" s="105"/>
      <c r="H27" s="105"/>
      <c r="I27" s="106"/>
      <c r="J27" s="107"/>
      <c r="K27" s="26"/>
      <c r="L27" s="102"/>
      <c r="M27" s="103"/>
      <c r="N27" s="104"/>
      <c r="O27" s="105"/>
      <c r="P27" s="105"/>
      <c r="Q27" s="105"/>
      <c r="R27" s="107"/>
      <c r="S27" s="26"/>
      <c r="T27" s="102"/>
      <c r="U27" s="103"/>
      <c r="V27" s="104"/>
      <c r="W27" s="105"/>
      <c r="X27" s="105"/>
      <c r="Y27" s="105"/>
      <c r="Z27" s="107"/>
      <c r="AA27" s="26"/>
      <c r="AB27" s="102"/>
      <c r="AC27" s="103"/>
      <c r="AD27" s="104"/>
      <c r="AE27" s="105"/>
      <c r="AF27" s="105"/>
      <c r="AG27" s="105"/>
      <c r="AH27" s="107"/>
    </row>
    <row r="28" ht="14.25" customHeight="1">
      <c r="A28" s="109" t="s">
        <v>51</v>
      </c>
      <c r="B28" s="110">
        <v>1920000.0</v>
      </c>
      <c r="C28" s="26"/>
      <c r="D28" s="111">
        <v>1.0</v>
      </c>
      <c r="E28" s="112">
        <f>E25+15%</f>
        <v>0.25</v>
      </c>
      <c r="F28" s="113">
        <f>H28</f>
        <v>1440000</v>
      </c>
      <c r="G28" s="113">
        <v>0.0</v>
      </c>
      <c r="H28" s="113">
        <f t="shared" ref="H28:H29" si="31">$B$28-($B$28*E28)</f>
        <v>1440000</v>
      </c>
      <c r="I28" s="115">
        <f>H28/J28</f>
        <v>8089.88764</v>
      </c>
      <c r="J28" s="116">
        <v>178.0</v>
      </c>
      <c r="K28" s="26"/>
      <c r="L28" s="111">
        <f>$D$43</f>
        <v>1</v>
      </c>
      <c r="M28" s="112">
        <f t="shared" ref="M28:M29" si="32">E28+5%</f>
        <v>0.3</v>
      </c>
      <c r="N28" s="113">
        <f>P28</f>
        <v>1344000</v>
      </c>
      <c r="O28" s="113">
        <v>0.0</v>
      </c>
      <c r="P28" s="113">
        <f t="shared" ref="P28:P29" si="33">$B$28-($B$28*M28)</f>
        <v>1344000</v>
      </c>
      <c r="Q28" s="113">
        <f>P28/R28</f>
        <v>7550.561798</v>
      </c>
      <c r="R28" s="116">
        <f>J28</f>
        <v>178</v>
      </c>
      <c r="S28" s="26"/>
      <c r="T28" s="111">
        <f>$D$43</f>
        <v>1</v>
      </c>
      <c r="U28" s="112">
        <f t="shared" ref="U28:U29" si="34">M28+5%</f>
        <v>0.35</v>
      </c>
      <c r="V28" s="113">
        <f>X28</f>
        <v>1248000</v>
      </c>
      <c r="W28" s="113">
        <v>0.0</v>
      </c>
      <c r="X28" s="113">
        <f t="shared" ref="X28:X29" si="35">$B$28-($B$28*U28)</f>
        <v>1248000</v>
      </c>
      <c r="Y28" s="113">
        <f>X28/Z28</f>
        <v>7011.235955</v>
      </c>
      <c r="Z28" s="116">
        <f>R28</f>
        <v>178</v>
      </c>
      <c r="AA28" s="26"/>
      <c r="AB28" s="111">
        <f>$D$43</f>
        <v>1</v>
      </c>
      <c r="AC28" s="112">
        <f t="shared" ref="AC28:AC29" si="36">U28+5%</f>
        <v>0.4</v>
      </c>
      <c r="AD28" s="113">
        <f>AF28</f>
        <v>1152000</v>
      </c>
      <c r="AE28" s="113">
        <v>0.0</v>
      </c>
      <c r="AF28" s="113">
        <f t="shared" ref="AF28:AF29" si="37">$B$28-($B$28*AC28)</f>
        <v>1152000</v>
      </c>
      <c r="AG28" s="113">
        <f>AF28/AH28</f>
        <v>6471.910112</v>
      </c>
      <c r="AH28" s="116">
        <f>Z28</f>
        <v>178</v>
      </c>
    </row>
    <row r="29" ht="14.25" customHeight="1">
      <c r="A29" s="68"/>
      <c r="B29" s="69"/>
      <c r="C29" s="26"/>
      <c r="D29" s="119">
        <v>3.0</v>
      </c>
      <c r="E29" s="120">
        <f>E28/2</f>
        <v>0.125</v>
      </c>
      <c r="F29" s="121">
        <f>H29/D29</f>
        <v>560000</v>
      </c>
      <c r="G29" s="122">
        <f>(H29-F29)/(D29-1)</f>
        <v>560000</v>
      </c>
      <c r="H29" s="122">
        <f t="shared" si="31"/>
        <v>1680000</v>
      </c>
      <c r="I29" s="122">
        <f>H29/J28</f>
        <v>9438.202247</v>
      </c>
      <c r="J29" s="202">
        <f>J28/D29</f>
        <v>59.33333333</v>
      </c>
      <c r="K29" s="26"/>
      <c r="L29" s="119">
        <f>$D$44</f>
        <v>3</v>
      </c>
      <c r="M29" s="120">
        <f t="shared" si="32"/>
        <v>0.175</v>
      </c>
      <c r="N29" s="121">
        <f>P29/L29</f>
        <v>528000</v>
      </c>
      <c r="O29" s="122">
        <f>(P29-N29)/(L29-1)</f>
        <v>528000</v>
      </c>
      <c r="P29" s="122">
        <f t="shared" si="33"/>
        <v>1584000</v>
      </c>
      <c r="Q29" s="122">
        <f>P29/R28</f>
        <v>8898.876404</v>
      </c>
      <c r="R29" s="202">
        <v>27.0</v>
      </c>
      <c r="S29" s="26"/>
      <c r="T29" s="119">
        <f>$D$44</f>
        <v>3</v>
      </c>
      <c r="U29" s="120">
        <f t="shared" si="34"/>
        <v>0.225</v>
      </c>
      <c r="V29" s="121">
        <f>X29/T29</f>
        <v>496000</v>
      </c>
      <c r="W29" s="122">
        <f>(X29-V29)/(T29-1)</f>
        <v>496000</v>
      </c>
      <c r="X29" s="122">
        <f t="shared" si="35"/>
        <v>1488000</v>
      </c>
      <c r="Y29" s="122">
        <f>X29/Z28</f>
        <v>8359.550562</v>
      </c>
      <c r="Z29" s="202">
        <v>27.0</v>
      </c>
      <c r="AA29" s="26"/>
      <c r="AB29" s="119">
        <f>$D$44</f>
        <v>3</v>
      </c>
      <c r="AC29" s="120">
        <f t="shared" si="36"/>
        <v>0.275</v>
      </c>
      <c r="AD29" s="121">
        <f>AF29/AB29</f>
        <v>464000</v>
      </c>
      <c r="AE29" s="122">
        <f>(AF29-AD29)/(AB29-1)</f>
        <v>464000</v>
      </c>
      <c r="AF29" s="122">
        <f t="shared" si="37"/>
        <v>1392000</v>
      </c>
      <c r="AG29" s="122">
        <f>AF29/AH28</f>
        <v>7820.224719</v>
      </c>
      <c r="AH29" s="202">
        <v>27.0</v>
      </c>
    </row>
    <row r="30" ht="7.5" customHeight="1">
      <c r="A30" s="100"/>
      <c r="B30" s="101"/>
      <c r="C30" s="26"/>
      <c r="D30" s="102"/>
      <c r="E30" s="103"/>
      <c r="F30" s="104"/>
      <c r="G30" s="105"/>
      <c r="H30" s="105"/>
      <c r="I30" s="106"/>
      <c r="J30" s="107"/>
      <c r="K30" s="26"/>
      <c r="L30" s="102"/>
      <c r="M30" s="103"/>
      <c r="N30" s="104"/>
      <c r="O30" s="105"/>
      <c r="P30" s="105"/>
      <c r="Q30" s="105"/>
      <c r="R30" s="107"/>
      <c r="S30" s="26"/>
      <c r="T30" s="102"/>
      <c r="U30" s="103"/>
      <c r="V30" s="104"/>
      <c r="W30" s="105"/>
      <c r="X30" s="105"/>
      <c r="Y30" s="105"/>
      <c r="Z30" s="107"/>
      <c r="AA30" s="26"/>
      <c r="AB30" s="102"/>
      <c r="AC30" s="103"/>
      <c r="AD30" s="104"/>
      <c r="AE30" s="105"/>
      <c r="AF30" s="105"/>
      <c r="AG30" s="105"/>
      <c r="AH30" s="107"/>
    </row>
    <row r="31" ht="14.25" customHeight="1">
      <c r="A31" s="138" t="s">
        <v>71</v>
      </c>
      <c r="B31" s="139">
        <v>1920000.0</v>
      </c>
      <c r="C31" s="26"/>
      <c r="D31" s="140">
        <v>1.0</v>
      </c>
      <c r="E31" s="141">
        <f>E28+15%</f>
        <v>0.4</v>
      </c>
      <c r="F31" s="142">
        <f>H31</f>
        <v>1152000</v>
      </c>
      <c r="G31" s="142">
        <v>0.0</v>
      </c>
      <c r="H31" s="142">
        <f t="shared" ref="H31:H32" si="38">$B$31-($B$31*E31)</f>
        <v>1152000</v>
      </c>
      <c r="I31" s="143">
        <f>H31/J31</f>
        <v>5702.970297</v>
      </c>
      <c r="J31" s="144">
        <v>202.0</v>
      </c>
      <c r="K31" s="26"/>
      <c r="L31" s="140">
        <f>$D$58</f>
        <v>1</v>
      </c>
      <c r="M31" s="141">
        <f t="shared" ref="M31:M32" si="39">E31+5%</f>
        <v>0.45</v>
      </c>
      <c r="N31" s="142">
        <f>P31</f>
        <v>1056000</v>
      </c>
      <c r="O31" s="142">
        <v>0.0</v>
      </c>
      <c r="P31" s="142">
        <f t="shared" ref="P31:P32" si="40">$B$31-($B$31*M31)</f>
        <v>1056000</v>
      </c>
      <c r="Q31" s="142">
        <f>P31/R31</f>
        <v>5227.722772</v>
      </c>
      <c r="R31" s="144">
        <f>J31</f>
        <v>202</v>
      </c>
      <c r="S31" s="26"/>
      <c r="T31" s="140">
        <f>$D$58</f>
        <v>1</v>
      </c>
      <c r="U31" s="141">
        <f t="shared" ref="U31:U32" si="41">M31+5%</f>
        <v>0.5</v>
      </c>
      <c r="V31" s="142">
        <f>X31</f>
        <v>960000</v>
      </c>
      <c r="W31" s="142">
        <v>0.0</v>
      </c>
      <c r="X31" s="142">
        <f t="shared" ref="X31:X32" si="42">$B$31-($B$31*U31)</f>
        <v>960000</v>
      </c>
      <c r="Y31" s="142">
        <f>X31/Z31</f>
        <v>4752.475248</v>
      </c>
      <c r="Z31" s="144">
        <f>R31</f>
        <v>202</v>
      </c>
      <c r="AA31" s="26"/>
      <c r="AB31" s="140">
        <f>$D$58</f>
        <v>1</v>
      </c>
      <c r="AC31" s="141">
        <f t="shared" ref="AC31:AC32" si="43">U31+5%</f>
        <v>0.55</v>
      </c>
      <c r="AD31" s="142">
        <f>AF31</f>
        <v>864000</v>
      </c>
      <c r="AE31" s="142">
        <v>0.0</v>
      </c>
      <c r="AF31" s="142">
        <f t="shared" ref="AF31:AF32" si="44">$B$31-($B$31*AC31)</f>
        <v>864000</v>
      </c>
      <c r="AG31" s="142">
        <f>AF31/AH31</f>
        <v>4277.227723</v>
      </c>
      <c r="AH31" s="144">
        <f>Z31</f>
        <v>202</v>
      </c>
    </row>
    <row r="32" ht="14.25" customHeight="1">
      <c r="A32" s="68"/>
      <c r="B32" s="69"/>
      <c r="C32" s="26"/>
      <c r="D32" s="148">
        <v>3.0</v>
      </c>
      <c r="E32" s="149">
        <f>E31/2</f>
        <v>0.2</v>
      </c>
      <c r="F32" s="150">
        <f>H32/D32</f>
        <v>512000</v>
      </c>
      <c r="G32" s="151">
        <f>(H32-F32)/(D32-1)</f>
        <v>512000</v>
      </c>
      <c r="H32" s="151">
        <f t="shared" si="38"/>
        <v>1536000</v>
      </c>
      <c r="I32" s="151">
        <f>H32/J31</f>
        <v>7603.960396</v>
      </c>
      <c r="J32" s="153">
        <f>J31/D32</f>
        <v>67.33333333</v>
      </c>
      <c r="K32" s="26"/>
      <c r="L32" s="148">
        <f>$D$59</f>
        <v>3</v>
      </c>
      <c r="M32" s="149">
        <f t="shared" si="39"/>
        <v>0.25</v>
      </c>
      <c r="N32" s="150">
        <f>P32/L32</f>
        <v>480000</v>
      </c>
      <c r="O32" s="151">
        <f>(P32-N32)/(L32-1)</f>
        <v>480000</v>
      </c>
      <c r="P32" s="151">
        <f t="shared" si="40"/>
        <v>1440000</v>
      </c>
      <c r="Q32" s="151">
        <f>P32/R31</f>
        <v>7128.712871</v>
      </c>
      <c r="R32" s="153">
        <v>27.0</v>
      </c>
      <c r="S32" s="26"/>
      <c r="T32" s="148">
        <f>$D$59</f>
        <v>3</v>
      </c>
      <c r="U32" s="149">
        <f t="shared" si="41"/>
        <v>0.3</v>
      </c>
      <c r="V32" s="150">
        <f>X32/T32</f>
        <v>448000</v>
      </c>
      <c r="W32" s="151">
        <f>(X32-V32)/(T32-1)</f>
        <v>448000</v>
      </c>
      <c r="X32" s="151">
        <f t="shared" si="42"/>
        <v>1344000</v>
      </c>
      <c r="Y32" s="151">
        <f>X32/Z31</f>
        <v>6653.465347</v>
      </c>
      <c r="Z32" s="153">
        <v>27.0</v>
      </c>
      <c r="AA32" s="26"/>
      <c r="AB32" s="148">
        <f>$D$59</f>
        <v>3</v>
      </c>
      <c r="AC32" s="149">
        <f t="shared" si="43"/>
        <v>0.35</v>
      </c>
      <c r="AD32" s="150">
        <f>AF32/AB32</f>
        <v>416000</v>
      </c>
      <c r="AE32" s="151">
        <f>(AF32-AD32)/(AB32-1)</f>
        <v>416000</v>
      </c>
      <c r="AF32" s="151">
        <f t="shared" si="44"/>
        <v>1248000</v>
      </c>
      <c r="AG32" s="151">
        <f>AF32/AH31</f>
        <v>6178.217822</v>
      </c>
      <c r="AH32" s="153">
        <v>27.0</v>
      </c>
    </row>
    <row r="33" ht="7.5" customHeight="1">
      <c r="A33" s="100"/>
      <c r="B33" s="101"/>
      <c r="C33" s="26"/>
      <c r="D33" s="102"/>
      <c r="E33" s="103"/>
      <c r="F33" s="104"/>
      <c r="G33" s="105"/>
      <c r="H33" s="105"/>
      <c r="I33" s="106"/>
      <c r="J33" s="107"/>
      <c r="K33" s="26"/>
      <c r="L33" s="102"/>
      <c r="M33" s="103"/>
      <c r="N33" s="104"/>
      <c r="O33" s="105"/>
      <c r="P33" s="105"/>
      <c r="Q33" s="105"/>
      <c r="R33" s="107"/>
      <c r="S33" s="26"/>
      <c r="T33" s="102"/>
      <c r="U33" s="103"/>
      <c r="V33" s="104"/>
      <c r="W33" s="105"/>
      <c r="X33" s="105"/>
      <c r="Y33" s="105"/>
      <c r="Z33" s="107"/>
      <c r="AA33" s="26"/>
      <c r="AB33" s="102"/>
      <c r="AC33" s="103"/>
      <c r="AD33" s="104"/>
      <c r="AE33" s="105"/>
      <c r="AF33" s="105"/>
      <c r="AG33" s="105"/>
      <c r="AH33" s="107"/>
    </row>
    <row r="34" ht="14.25" customHeight="1">
      <c r="A34" s="154" t="s">
        <v>56</v>
      </c>
      <c r="B34" s="155">
        <v>1920000.0</v>
      </c>
      <c r="C34" s="26"/>
      <c r="D34" s="156">
        <v>1.0</v>
      </c>
      <c r="E34" s="157">
        <f>E31+15%</f>
        <v>0.55</v>
      </c>
      <c r="F34" s="158">
        <f>H34</f>
        <v>864000</v>
      </c>
      <c r="G34" s="158">
        <v>0.0</v>
      </c>
      <c r="H34" s="158">
        <f t="shared" ref="H34:H35" si="45">$B$34-($B$34*E34)</f>
        <v>864000</v>
      </c>
      <c r="I34" s="159">
        <f>H34/J34</f>
        <v>4277.227723</v>
      </c>
      <c r="J34" s="160">
        <v>202.0</v>
      </c>
      <c r="K34" s="26"/>
      <c r="L34" s="156">
        <f>$D$70</f>
        <v>1</v>
      </c>
      <c r="M34" s="157">
        <f t="shared" ref="M34:M35" si="46">E34+5%</f>
        <v>0.6</v>
      </c>
      <c r="N34" s="158">
        <f>P34</f>
        <v>768000</v>
      </c>
      <c r="O34" s="158">
        <v>0.0</v>
      </c>
      <c r="P34" s="158">
        <f t="shared" ref="P34:P35" si="47">$B$34-($B$34*M34)</f>
        <v>768000</v>
      </c>
      <c r="Q34" s="159">
        <f>P34/R34</f>
        <v>3801.980198</v>
      </c>
      <c r="R34" s="160">
        <f>J34</f>
        <v>202</v>
      </c>
      <c r="S34" s="26"/>
      <c r="T34" s="156">
        <f>$D$70</f>
        <v>1</v>
      </c>
      <c r="U34" s="157">
        <f t="shared" ref="U34:U35" si="48">M34+5%</f>
        <v>0.65</v>
      </c>
      <c r="V34" s="158">
        <f>X34</f>
        <v>672000</v>
      </c>
      <c r="W34" s="158">
        <v>0.0</v>
      </c>
      <c r="X34" s="158">
        <f t="shared" ref="X34:X35" si="49">$B$34-($B$34*U34)</f>
        <v>672000</v>
      </c>
      <c r="Y34" s="159">
        <f>X34/Z34</f>
        <v>3326.732673</v>
      </c>
      <c r="Z34" s="160">
        <f>R34</f>
        <v>202</v>
      </c>
      <c r="AA34" s="26"/>
      <c r="AB34" s="156">
        <f>$D$70</f>
        <v>1</v>
      </c>
      <c r="AC34" s="157">
        <f t="shared" ref="AC34:AC35" si="50">U34+5%</f>
        <v>0.7</v>
      </c>
      <c r="AD34" s="158">
        <f>AF34</f>
        <v>576000</v>
      </c>
      <c r="AE34" s="158">
        <v>0.0</v>
      </c>
      <c r="AF34" s="158">
        <f t="shared" ref="AF34:AF35" si="51">$B$34-($B$34*AC34)</f>
        <v>576000</v>
      </c>
      <c r="AG34" s="159">
        <f>AF34/AH34</f>
        <v>2851.485149</v>
      </c>
      <c r="AH34" s="160">
        <f>Z34</f>
        <v>202</v>
      </c>
    </row>
    <row r="35" ht="14.25" customHeight="1">
      <c r="A35" s="68"/>
      <c r="B35" s="69"/>
      <c r="C35" s="26"/>
      <c r="D35" s="161">
        <v>3.0</v>
      </c>
      <c r="E35" s="162">
        <f>E34/2</f>
        <v>0.275</v>
      </c>
      <c r="F35" s="163">
        <f>H35/D35</f>
        <v>464000</v>
      </c>
      <c r="G35" s="164">
        <f>(H35-F35)/(D35-1)</f>
        <v>464000</v>
      </c>
      <c r="H35" s="164">
        <f t="shared" si="45"/>
        <v>1392000</v>
      </c>
      <c r="I35" s="164">
        <f>H35/J34</f>
        <v>6891.089109</v>
      </c>
      <c r="J35" s="165">
        <f>J34/D35</f>
        <v>67.33333333</v>
      </c>
      <c r="K35" s="26"/>
      <c r="L35" s="161">
        <f>$D$71</f>
        <v>3</v>
      </c>
      <c r="M35" s="162">
        <f t="shared" si="46"/>
        <v>0.325</v>
      </c>
      <c r="N35" s="163">
        <f>P35/L35</f>
        <v>432000</v>
      </c>
      <c r="O35" s="164">
        <f>(P35-N35)/(L35-1)</f>
        <v>432000</v>
      </c>
      <c r="P35" s="164">
        <f t="shared" si="47"/>
        <v>1296000</v>
      </c>
      <c r="Q35" s="164">
        <f>P35/R34</f>
        <v>6415.841584</v>
      </c>
      <c r="R35" s="165">
        <v>27.0</v>
      </c>
      <c r="S35" s="26"/>
      <c r="T35" s="161">
        <f>$D$71</f>
        <v>3</v>
      </c>
      <c r="U35" s="162">
        <f t="shared" si="48"/>
        <v>0.375</v>
      </c>
      <c r="V35" s="163">
        <f>X35/T35</f>
        <v>400000</v>
      </c>
      <c r="W35" s="164">
        <f>(X35-V35)/(T35-1)</f>
        <v>400000</v>
      </c>
      <c r="X35" s="164">
        <f t="shared" si="49"/>
        <v>1200000</v>
      </c>
      <c r="Y35" s="164">
        <f>X35/Z34</f>
        <v>5940.594059</v>
      </c>
      <c r="Z35" s="165">
        <v>27.0</v>
      </c>
      <c r="AA35" s="26"/>
      <c r="AB35" s="161">
        <f>$D$71</f>
        <v>3</v>
      </c>
      <c r="AC35" s="162">
        <f t="shared" si="50"/>
        <v>0.425</v>
      </c>
      <c r="AD35" s="163">
        <f>AF35/AB35</f>
        <v>368000</v>
      </c>
      <c r="AE35" s="164">
        <f>(AF35-AD35)/(AB35-1)</f>
        <v>368000</v>
      </c>
      <c r="AF35" s="164">
        <f t="shared" si="51"/>
        <v>1104000</v>
      </c>
      <c r="AG35" s="164">
        <f>AF35/AH34</f>
        <v>5465.346535</v>
      </c>
      <c r="AH35" s="165">
        <v>27.0</v>
      </c>
    </row>
    <row r="36" ht="5.25" customHeight="1">
      <c r="A36" s="175"/>
      <c r="B36" s="176"/>
      <c r="C36" s="177"/>
      <c r="D36" s="178"/>
      <c r="E36" s="179"/>
      <c r="F36" s="180"/>
      <c r="G36" s="181"/>
      <c r="H36" s="181"/>
      <c r="I36" s="183"/>
      <c r="J36" s="178"/>
      <c r="K36" s="177"/>
      <c r="L36" s="178"/>
      <c r="M36" s="179"/>
      <c r="N36" s="180"/>
      <c r="O36" s="181"/>
      <c r="P36" s="181"/>
      <c r="Q36" s="183"/>
      <c r="R36" s="178"/>
      <c r="S36" s="177"/>
      <c r="T36" s="178"/>
      <c r="U36" s="179"/>
      <c r="V36" s="180"/>
      <c r="W36" s="181"/>
      <c r="X36" s="181"/>
      <c r="Y36" s="183"/>
      <c r="Z36" s="178"/>
      <c r="AA36" s="177"/>
      <c r="AB36" s="178"/>
      <c r="AC36" s="179"/>
      <c r="AD36" s="180"/>
      <c r="AE36" s="181"/>
      <c r="AF36" s="181"/>
      <c r="AG36" s="183"/>
      <c r="AH36" s="178"/>
    </row>
    <row r="37" ht="14.25" customHeight="1">
      <c r="A37" s="175"/>
      <c r="B37" s="176"/>
      <c r="C37" s="177"/>
      <c r="D37" s="178"/>
      <c r="E37" s="179"/>
      <c r="F37" s="184" t="s">
        <v>59</v>
      </c>
      <c r="G37" s="185" t="s">
        <v>60</v>
      </c>
      <c r="H37" s="186">
        <f>H25+H28+H31+H34</f>
        <v>4695300</v>
      </c>
      <c r="I37" s="183"/>
      <c r="J37" s="178"/>
      <c r="K37" s="177"/>
      <c r="L37" s="178"/>
      <c r="M37" s="179"/>
      <c r="N37" s="184" t="s">
        <v>59</v>
      </c>
      <c r="O37" s="185" t="s">
        <v>60</v>
      </c>
      <c r="P37" s="186">
        <f>P25+P28+P31+P34</f>
        <v>4338450</v>
      </c>
      <c r="Q37" s="183"/>
      <c r="R37" s="178"/>
      <c r="S37" s="177"/>
      <c r="T37" s="178"/>
      <c r="U37" s="179"/>
      <c r="V37" s="184" t="s">
        <v>59</v>
      </c>
      <c r="W37" s="185" t="s">
        <v>60</v>
      </c>
      <c r="X37" s="186">
        <f>X25+X28+X31+X34</f>
        <v>3981600</v>
      </c>
      <c r="Y37" s="183"/>
      <c r="Z37" s="178"/>
      <c r="AA37" s="177"/>
      <c r="AB37" s="178"/>
      <c r="AC37" s="179"/>
      <c r="AD37" s="184" t="s">
        <v>59</v>
      </c>
      <c r="AE37" s="185" t="s">
        <v>60</v>
      </c>
      <c r="AF37" s="186">
        <f>AF25+AF28+AF31+AF34</f>
        <v>3624750</v>
      </c>
      <c r="AG37" s="183"/>
      <c r="AH37" s="178"/>
    </row>
    <row r="38" ht="14.25" customHeight="1">
      <c r="A38" s="175"/>
      <c r="B38" s="176"/>
      <c r="C38" s="177"/>
      <c r="D38" s="178"/>
      <c r="E38" s="179"/>
      <c r="F38" s="96"/>
      <c r="G38" s="186" t="s">
        <v>61</v>
      </c>
      <c r="H38" s="186">
        <f>+H26+H29+H32+H35</f>
        <v>5985000</v>
      </c>
      <c r="I38" s="183"/>
      <c r="J38" s="178"/>
      <c r="K38" s="177"/>
      <c r="L38" s="178"/>
      <c r="M38" s="179"/>
      <c r="N38" s="96"/>
      <c r="O38" s="186" t="s">
        <v>61</v>
      </c>
      <c r="P38" s="186">
        <f>+P26+P29+P32+P35</f>
        <v>5628150</v>
      </c>
      <c r="Q38" s="183"/>
      <c r="R38" s="178"/>
      <c r="S38" s="177"/>
      <c r="T38" s="178"/>
      <c r="U38" s="179"/>
      <c r="V38" s="96"/>
      <c r="W38" s="186" t="s">
        <v>61</v>
      </c>
      <c r="X38" s="186">
        <f>+X26+X29+X32+X35</f>
        <v>5271300</v>
      </c>
      <c r="Y38" s="183"/>
      <c r="Z38" s="178"/>
      <c r="AA38" s="177"/>
      <c r="AB38" s="178"/>
      <c r="AC38" s="179"/>
      <c r="AD38" s="96"/>
      <c r="AE38" s="186" t="s">
        <v>61</v>
      </c>
      <c r="AF38" s="186">
        <f>+AF26+AF29+AF32+AF35</f>
        <v>4914450</v>
      </c>
      <c r="AG38" s="183"/>
      <c r="AH38" s="178"/>
    </row>
    <row r="39" ht="14.25" customHeight="1">
      <c r="A39" s="175"/>
      <c r="B39" s="176"/>
      <c r="C39" s="177"/>
      <c r="D39" s="178"/>
      <c r="E39" s="179"/>
      <c r="F39" s="180"/>
      <c r="G39" s="181"/>
      <c r="H39" s="181"/>
      <c r="I39" s="183"/>
      <c r="J39" s="178"/>
      <c r="K39" s="177"/>
      <c r="L39" s="178"/>
      <c r="M39" s="179"/>
      <c r="N39" s="180"/>
      <c r="O39" s="181"/>
      <c r="P39" s="181"/>
      <c r="Q39" s="183"/>
      <c r="R39" s="178"/>
      <c r="S39" s="177"/>
      <c r="T39" s="178"/>
      <c r="U39" s="179"/>
      <c r="V39" s="180"/>
      <c r="W39" s="181"/>
      <c r="X39" s="181"/>
      <c r="Y39" s="183"/>
      <c r="Z39" s="178"/>
      <c r="AA39" s="177"/>
      <c r="AB39" s="178"/>
      <c r="AC39" s="179"/>
      <c r="AD39" s="180"/>
      <c r="AE39" s="181"/>
      <c r="AF39" s="181"/>
      <c r="AG39" s="183"/>
      <c r="AH39" s="178"/>
    </row>
    <row r="40" ht="14.25" customHeight="1">
      <c r="A40" s="211" t="s">
        <v>75</v>
      </c>
      <c r="B40" s="8"/>
      <c r="C40" s="26"/>
      <c r="D40" s="191" t="s">
        <v>64</v>
      </c>
      <c r="E40" s="192"/>
      <c r="F40" s="192"/>
      <c r="G40" s="192"/>
      <c r="H40" s="192"/>
      <c r="I40" s="192"/>
      <c r="J40" s="8"/>
      <c r="K40" s="26"/>
      <c r="L40" s="194" t="s">
        <v>65</v>
      </c>
      <c r="M40" s="192"/>
      <c r="N40" s="192"/>
      <c r="O40" s="192"/>
      <c r="P40" s="192"/>
      <c r="Q40" s="192"/>
      <c r="R40" s="8"/>
      <c r="S40" s="26"/>
      <c r="T40" s="196" t="s">
        <v>66</v>
      </c>
      <c r="U40" s="192"/>
      <c r="V40" s="192"/>
      <c r="W40" s="192"/>
      <c r="X40" s="192"/>
      <c r="Y40" s="192"/>
      <c r="Z40" s="8"/>
      <c r="AA40" s="26"/>
      <c r="AB40" s="197" t="s">
        <v>67</v>
      </c>
      <c r="AC40" s="192"/>
      <c r="AD40" s="192"/>
      <c r="AE40" s="192"/>
      <c r="AF40" s="192"/>
      <c r="AG40" s="192"/>
      <c r="AH40" s="8"/>
    </row>
    <row r="41" ht="14.25" customHeight="1">
      <c r="A41" s="21"/>
      <c r="B41" s="22"/>
      <c r="C41" s="26"/>
      <c r="D41" s="21"/>
      <c r="E41" s="200"/>
      <c r="F41" s="200"/>
      <c r="G41" s="200"/>
      <c r="H41" s="200"/>
      <c r="I41" s="200"/>
      <c r="J41" s="22"/>
      <c r="K41" s="26"/>
      <c r="L41" s="21"/>
      <c r="M41" s="200"/>
      <c r="N41" s="200"/>
      <c r="O41" s="200"/>
      <c r="P41" s="200"/>
      <c r="Q41" s="200"/>
      <c r="R41" s="22"/>
      <c r="S41" s="26"/>
      <c r="T41" s="21"/>
      <c r="U41" s="200"/>
      <c r="V41" s="200"/>
      <c r="W41" s="200"/>
      <c r="X41" s="200"/>
      <c r="Y41" s="200"/>
      <c r="Z41" s="22"/>
      <c r="AA41" s="26"/>
      <c r="AB41" s="21"/>
      <c r="AC41" s="200"/>
      <c r="AD41" s="200"/>
      <c r="AE41" s="200"/>
      <c r="AF41" s="200"/>
      <c r="AG41" s="200"/>
      <c r="AH41" s="22"/>
    </row>
    <row r="42" ht="15.75" customHeight="1">
      <c r="A42" s="51" t="s">
        <v>12</v>
      </c>
      <c r="B42" s="51" t="s">
        <v>13</v>
      </c>
      <c r="C42" s="52"/>
      <c r="D42" s="53" t="s">
        <v>14</v>
      </c>
      <c r="E42" s="54" t="s">
        <v>16</v>
      </c>
      <c r="F42" s="55" t="s">
        <v>17</v>
      </c>
      <c r="G42" s="55" t="s">
        <v>18</v>
      </c>
      <c r="H42" s="55" t="s">
        <v>19</v>
      </c>
      <c r="I42" s="58" t="s">
        <v>20</v>
      </c>
      <c r="J42" s="60" t="s">
        <v>22</v>
      </c>
      <c r="K42" s="52"/>
      <c r="L42" s="51" t="s">
        <v>14</v>
      </c>
      <c r="M42" s="62" t="s">
        <v>16</v>
      </c>
      <c r="N42" s="51" t="s">
        <v>17</v>
      </c>
      <c r="O42" s="51" t="s">
        <v>18</v>
      </c>
      <c r="P42" s="51" t="s">
        <v>19</v>
      </c>
      <c r="Q42" s="64" t="s">
        <v>20</v>
      </c>
      <c r="R42" s="66" t="s">
        <v>22</v>
      </c>
      <c r="S42" s="52"/>
      <c r="T42" s="51" t="s">
        <v>14</v>
      </c>
      <c r="U42" s="62" t="s">
        <v>16</v>
      </c>
      <c r="V42" s="51" t="s">
        <v>17</v>
      </c>
      <c r="W42" s="51" t="s">
        <v>18</v>
      </c>
      <c r="X42" s="51" t="s">
        <v>19</v>
      </c>
      <c r="Y42" s="64" t="s">
        <v>20</v>
      </c>
      <c r="Z42" s="66" t="s">
        <v>22</v>
      </c>
      <c r="AA42" s="52"/>
      <c r="AB42" s="51" t="s">
        <v>14</v>
      </c>
      <c r="AC42" s="62" t="s">
        <v>16</v>
      </c>
      <c r="AD42" s="51" t="s">
        <v>17</v>
      </c>
      <c r="AE42" s="51" t="s">
        <v>18</v>
      </c>
      <c r="AF42" s="51" t="s">
        <v>19</v>
      </c>
      <c r="AG42" s="64" t="s">
        <v>20</v>
      </c>
      <c r="AH42" s="66" t="s">
        <v>22</v>
      </c>
    </row>
    <row r="43" ht="14.25" customHeight="1">
      <c r="A43" s="41" t="s">
        <v>51</v>
      </c>
      <c r="B43" s="43">
        <v>1920000.0</v>
      </c>
      <c r="C43" s="26"/>
      <c r="D43" s="45">
        <v>1.0</v>
      </c>
      <c r="E43" s="46">
        <v>0.1</v>
      </c>
      <c r="F43" s="48">
        <f>H43</f>
        <v>1728000</v>
      </c>
      <c r="G43" s="48">
        <v>0.0</v>
      </c>
      <c r="H43" s="48">
        <f t="shared" ref="H43:H44" si="52">$B$43-($B$43*E43)</f>
        <v>1728000</v>
      </c>
      <c r="I43" s="80">
        <f>H43/J43</f>
        <v>9707.865169</v>
      </c>
      <c r="J43" s="50">
        <v>178.0</v>
      </c>
      <c r="K43" s="26"/>
      <c r="L43" s="45">
        <f>$D$43</f>
        <v>1</v>
      </c>
      <c r="M43" s="46">
        <f t="shared" ref="M43:M44" si="53">E43+5%</f>
        <v>0.15</v>
      </c>
      <c r="N43" s="48">
        <f>P43</f>
        <v>1632000</v>
      </c>
      <c r="O43" s="48">
        <v>0.0</v>
      </c>
      <c r="P43" s="48">
        <f t="shared" ref="P43:P44" si="54">$B$43-($B$43*M43)</f>
        <v>1632000</v>
      </c>
      <c r="Q43" s="48">
        <f>P43/R43</f>
        <v>9168.539326</v>
      </c>
      <c r="R43" s="50">
        <f>J43</f>
        <v>178</v>
      </c>
      <c r="S43" s="26"/>
      <c r="T43" s="45">
        <f>$D$43</f>
        <v>1</v>
      </c>
      <c r="U43" s="46">
        <f t="shared" ref="U43:U44" si="55">M43+5%</f>
        <v>0.2</v>
      </c>
      <c r="V43" s="48">
        <f>X43</f>
        <v>1536000</v>
      </c>
      <c r="W43" s="48">
        <v>0.0</v>
      </c>
      <c r="X43" s="48">
        <f t="shared" ref="X43:X44" si="56">$B$43-($B$43*U43)</f>
        <v>1536000</v>
      </c>
      <c r="Y43" s="48">
        <f>X43/Z43</f>
        <v>8629.213483</v>
      </c>
      <c r="Z43" s="50">
        <f>R43</f>
        <v>178</v>
      </c>
      <c r="AA43" s="26"/>
      <c r="AB43" s="45">
        <f>$D$43</f>
        <v>1</v>
      </c>
      <c r="AC43" s="46">
        <f t="shared" ref="AC43:AC44" si="57">U43+5%</f>
        <v>0.25</v>
      </c>
      <c r="AD43" s="48">
        <f>AF43</f>
        <v>1440000</v>
      </c>
      <c r="AE43" s="48">
        <v>0.0</v>
      </c>
      <c r="AF43" s="48">
        <f t="shared" ref="AF43:AF44" si="58">$B$43-($B$43*AC43)</f>
        <v>1440000</v>
      </c>
      <c r="AG43" s="48">
        <f>AF43/AH43</f>
        <v>8089.88764</v>
      </c>
      <c r="AH43" s="50">
        <f>Z43</f>
        <v>178</v>
      </c>
    </row>
    <row r="44" ht="14.25" customHeight="1">
      <c r="A44" s="68"/>
      <c r="B44" s="69"/>
      <c r="C44" s="26"/>
      <c r="D44" s="71">
        <v>3.0</v>
      </c>
      <c r="E44" s="72">
        <v>0.0</v>
      </c>
      <c r="F44" s="73">
        <f>H44/D44</f>
        <v>640000</v>
      </c>
      <c r="G44" s="74">
        <f>(H44-F44)/(D44-1)</f>
        <v>640000</v>
      </c>
      <c r="H44" s="74">
        <f t="shared" si="52"/>
        <v>1920000</v>
      </c>
      <c r="I44" s="74">
        <f>H44/J43</f>
        <v>10786.51685</v>
      </c>
      <c r="J44" s="98">
        <f>J43/D44</f>
        <v>59.33333333</v>
      </c>
      <c r="K44" s="26"/>
      <c r="L44" s="71">
        <f>$D$44</f>
        <v>3</v>
      </c>
      <c r="M44" s="72">
        <f t="shared" si="53"/>
        <v>0.05</v>
      </c>
      <c r="N44" s="73">
        <f>P44/L44</f>
        <v>608000</v>
      </c>
      <c r="O44" s="74">
        <f>(P44-N44)/(L44-1)</f>
        <v>608000</v>
      </c>
      <c r="P44" s="74">
        <f t="shared" si="54"/>
        <v>1824000</v>
      </c>
      <c r="Q44" s="74">
        <f>P44/R43</f>
        <v>10247.19101</v>
      </c>
      <c r="R44" s="98">
        <v>27.0</v>
      </c>
      <c r="S44" s="26"/>
      <c r="T44" s="71">
        <f>$D$44</f>
        <v>3</v>
      </c>
      <c r="U44" s="72">
        <f t="shared" si="55"/>
        <v>0.1</v>
      </c>
      <c r="V44" s="73">
        <f>X44/T44</f>
        <v>576000</v>
      </c>
      <c r="W44" s="74">
        <f>(X44-V44)/(T44-1)</f>
        <v>576000</v>
      </c>
      <c r="X44" s="74">
        <f t="shared" si="56"/>
        <v>1728000</v>
      </c>
      <c r="Y44" s="74">
        <f>X44/Z43</f>
        <v>9707.865169</v>
      </c>
      <c r="Z44" s="98">
        <v>27.0</v>
      </c>
      <c r="AA44" s="26"/>
      <c r="AB44" s="71">
        <f>$D$44</f>
        <v>3</v>
      </c>
      <c r="AC44" s="72">
        <f t="shared" si="57"/>
        <v>0.15</v>
      </c>
      <c r="AD44" s="73">
        <f>AF44/AB44</f>
        <v>544000</v>
      </c>
      <c r="AE44" s="74">
        <f>(AF44-AD44)/(AB44-1)</f>
        <v>544000</v>
      </c>
      <c r="AF44" s="74">
        <f t="shared" si="58"/>
        <v>1632000</v>
      </c>
      <c r="AG44" s="74">
        <f>AF44/AH43</f>
        <v>9168.539326</v>
      </c>
      <c r="AH44" s="98">
        <v>27.0</v>
      </c>
    </row>
    <row r="45" ht="7.5" customHeight="1">
      <c r="A45" s="100"/>
      <c r="B45" s="101"/>
      <c r="C45" s="26"/>
      <c r="D45" s="102"/>
      <c r="E45" s="103"/>
      <c r="F45" s="104"/>
      <c r="G45" s="105"/>
      <c r="H45" s="105"/>
      <c r="I45" s="106"/>
      <c r="J45" s="107"/>
      <c r="K45" s="26"/>
      <c r="L45" s="102"/>
      <c r="M45" s="103"/>
      <c r="N45" s="104"/>
      <c r="O45" s="105"/>
      <c r="P45" s="105"/>
      <c r="Q45" s="105"/>
      <c r="R45" s="107"/>
      <c r="S45" s="26"/>
      <c r="T45" s="102"/>
      <c r="U45" s="103"/>
      <c r="V45" s="104"/>
      <c r="W45" s="105"/>
      <c r="X45" s="105"/>
      <c r="Y45" s="105"/>
      <c r="Z45" s="107"/>
      <c r="AA45" s="26"/>
      <c r="AB45" s="102"/>
      <c r="AC45" s="103"/>
      <c r="AD45" s="104"/>
      <c r="AE45" s="105"/>
      <c r="AF45" s="105"/>
      <c r="AG45" s="105"/>
      <c r="AH45" s="107"/>
    </row>
    <row r="46" ht="14.25" customHeight="1">
      <c r="A46" s="109" t="s">
        <v>71</v>
      </c>
      <c r="B46" s="110">
        <v>1920000.0</v>
      </c>
      <c r="C46" s="26"/>
      <c r="D46" s="111">
        <v>1.0</v>
      </c>
      <c r="E46" s="112">
        <f>E43+15%</f>
        <v>0.25</v>
      </c>
      <c r="F46" s="113">
        <f>H46</f>
        <v>1440000</v>
      </c>
      <c r="G46" s="113">
        <v>0.0</v>
      </c>
      <c r="H46" s="113">
        <f t="shared" ref="H46:H47" si="59">$B$46-($B$46*E46)</f>
        <v>1440000</v>
      </c>
      <c r="I46" s="115">
        <f>H46/J46</f>
        <v>7128.712871</v>
      </c>
      <c r="J46" s="116">
        <v>202.0</v>
      </c>
      <c r="K46" s="26"/>
      <c r="L46" s="111">
        <f>$D$58</f>
        <v>1</v>
      </c>
      <c r="M46" s="112">
        <f t="shared" ref="M46:M47" si="60">E46+5%</f>
        <v>0.3</v>
      </c>
      <c r="N46" s="113">
        <f>P46</f>
        <v>1344000</v>
      </c>
      <c r="O46" s="113">
        <v>0.0</v>
      </c>
      <c r="P46" s="113">
        <f t="shared" ref="P46:P47" si="61">$B$46-($B$46*M46)</f>
        <v>1344000</v>
      </c>
      <c r="Q46" s="113">
        <f>P46/R46</f>
        <v>6653.465347</v>
      </c>
      <c r="R46" s="116">
        <f>J46</f>
        <v>202</v>
      </c>
      <c r="S46" s="26"/>
      <c r="T46" s="111">
        <f>$D$58</f>
        <v>1</v>
      </c>
      <c r="U46" s="112">
        <f t="shared" ref="U46:U47" si="62">M46+5%</f>
        <v>0.35</v>
      </c>
      <c r="V46" s="113">
        <f>X46</f>
        <v>1248000</v>
      </c>
      <c r="W46" s="113">
        <v>0.0</v>
      </c>
      <c r="X46" s="113">
        <f t="shared" ref="X46:X47" si="63">$B$46-($B$46*U46)</f>
        <v>1248000</v>
      </c>
      <c r="Y46" s="113">
        <f>X46/Z46</f>
        <v>6178.217822</v>
      </c>
      <c r="Z46" s="116">
        <f>R46</f>
        <v>202</v>
      </c>
      <c r="AA46" s="26"/>
      <c r="AB46" s="111">
        <f>$D$58</f>
        <v>1</v>
      </c>
      <c r="AC46" s="112">
        <f t="shared" ref="AC46:AC47" si="64">U46+5%</f>
        <v>0.4</v>
      </c>
      <c r="AD46" s="113">
        <f>AF46</f>
        <v>1152000</v>
      </c>
      <c r="AE46" s="113">
        <v>0.0</v>
      </c>
      <c r="AF46" s="113">
        <f t="shared" ref="AF46:AF47" si="65">$B$46-($B$46*AC46)</f>
        <v>1152000</v>
      </c>
      <c r="AG46" s="113">
        <f>AF46/AH46</f>
        <v>5702.970297</v>
      </c>
      <c r="AH46" s="116">
        <f>Z46</f>
        <v>202</v>
      </c>
    </row>
    <row r="47" ht="14.25" customHeight="1">
      <c r="A47" s="68"/>
      <c r="B47" s="69"/>
      <c r="C47" s="26"/>
      <c r="D47" s="119">
        <v>3.0</v>
      </c>
      <c r="E47" s="120">
        <f>E46/2</f>
        <v>0.125</v>
      </c>
      <c r="F47" s="121">
        <f>H47/D47</f>
        <v>560000</v>
      </c>
      <c r="G47" s="122">
        <f>(H47-F47)/(D47-1)</f>
        <v>560000</v>
      </c>
      <c r="H47" s="122">
        <f t="shared" si="59"/>
        <v>1680000</v>
      </c>
      <c r="I47" s="122">
        <f>H47/J46</f>
        <v>8316.831683</v>
      </c>
      <c r="J47" s="202">
        <f>J46/D47</f>
        <v>67.33333333</v>
      </c>
      <c r="K47" s="26"/>
      <c r="L47" s="119">
        <f>$D$59</f>
        <v>3</v>
      </c>
      <c r="M47" s="120">
        <f t="shared" si="60"/>
        <v>0.175</v>
      </c>
      <c r="N47" s="121">
        <f>P47/L47</f>
        <v>528000</v>
      </c>
      <c r="O47" s="122">
        <f>(P47-N47)/(L47-1)</f>
        <v>528000</v>
      </c>
      <c r="P47" s="122">
        <f t="shared" si="61"/>
        <v>1584000</v>
      </c>
      <c r="Q47" s="122">
        <f>P47/R46</f>
        <v>7841.584158</v>
      </c>
      <c r="R47" s="202">
        <v>27.0</v>
      </c>
      <c r="S47" s="26"/>
      <c r="T47" s="119">
        <f>$D$59</f>
        <v>3</v>
      </c>
      <c r="U47" s="120">
        <f t="shared" si="62"/>
        <v>0.225</v>
      </c>
      <c r="V47" s="121">
        <f>X47/T47</f>
        <v>496000</v>
      </c>
      <c r="W47" s="122">
        <f>(X47-V47)/(T47-1)</f>
        <v>496000</v>
      </c>
      <c r="X47" s="122">
        <f t="shared" si="63"/>
        <v>1488000</v>
      </c>
      <c r="Y47" s="122">
        <f>X47/Z46</f>
        <v>7366.336634</v>
      </c>
      <c r="Z47" s="202">
        <v>27.0</v>
      </c>
      <c r="AA47" s="26"/>
      <c r="AB47" s="119">
        <f>$D$59</f>
        <v>3</v>
      </c>
      <c r="AC47" s="120">
        <f t="shared" si="64"/>
        <v>0.275</v>
      </c>
      <c r="AD47" s="121">
        <f>AF47/AB47</f>
        <v>464000</v>
      </c>
      <c r="AE47" s="122">
        <f>(AF47-AD47)/(AB47-1)</f>
        <v>464000</v>
      </c>
      <c r="AF47" s="122">
        <f t="shared" si="65"/>
        <v>1392000</v>
      </c>
      <c r="AG47" s="122">
        <f>AF47/AH46</f>
        <v>6891.089109</v>
      </c>
      <c r="AH47" s="202">
        <v>27.0</v>
      </c>
    </row>
    <row r="48" ht="7.5" customHeight="1">
      <c r="A48" s="100"/>
      <c r="B48" s="101"/>
      <c r="C48" s="26"/>
      <c r="D48" s="102"/>
      <c r="E48" s="103"/>
      <c r="F48" s="104"/>
      <c r="G48" s="105"/>
      <c r="H48" s="105"/>
      <c r="I48" s="106"/>
      <c r="J48" s="107"/>
      <c r="K48" s="26"/>
      <c r="L48" s="102"/>
      <c r="M48" s="103"/>
      <c r="N48" s="104"/>
      <c r="O48" s="105"/>
      <c r="P48" s="105"/>
      <c r="Q48" s="105"/>
      <c r="R48" s="107"/>
      <c r="S48" s="26"/>
      <c r="T48" s="102"/>
      <c r="U48" s="103"/>
      <c r="V48" s="104"/>
      <c r="W48" s="105"/>
      <c r="X48" s="105"/>
      <c r="Y48" s="105"/>
      <c r="Z48" s="107"/>
      <c r="AA48" s="26"/>
      <c r="AB48" s="102"/>
      <c r="AC48" s="103"/>
      <c r="AD48" s="104"/>
      <c r="AE48" s="105"/>
      <c r="AF48" s="105"/>
      <c r="AG48" s="105"/>
      <c r="AH48" s="107"/>
    </row>
    <row r="49" ht="14.25" customHeight="1">
      <c r="A49" s="138" t="s">
        <v>56</v>
      </c>
      <c r="B49" s="139">
        <v>1920000.0</v>
      </c>
      <c r="C49" s="26"/>
      <c r="D49" s="140">
        <v>1.0</v>
      </c>
      <c r="E49" s="141">
        <f>E46+15%</f>
        <v>0.4</v>
      </c>
      <c r="F49" s="142">
        <f>H49</f>
        <v>1152000</v>
      </c>
      <c r="G49" s="142">
        <v>0.0</v>
      </c>
      <c r="H49" s="142">
        <f t="shared" ref="H49:H50" si="66">$B$49-($B$49*E49)</f>
        <v>1152000</v>
      </c>
      <c r="I49" s="143">
        <f>H49/J49</f>
        <v>5702.970297</v>
      </c>
      <c r="J49" s="144">
        <v>202.0</v>
      </c>
      <c r="K49" s="26"/>
      <c r="L49" s="140">
        <f>$D$70</f>
        <v>1</v>
      </c>
      <c r="M49" s="141">
        <f t="shared" ref="M49:M50" si="67">E49+5%</f>
        <v>0.45</v>
      </c>
      <c r="N49" s="142">
        <f>P49</f>
        <v>1056000</v>
      </c>
      <c r="O49" s="142">
        <v>0.0</v>
      </c>
      <c r="P49" s="142">
        <f t="shared" ref="P49:P50" si="68">$B$49-($B$49*M49)</f>
        <v>1056000</v>
      </c>
      <c r="Q49" s="142">
        <f>P49/R49</f>
        <v>5227.722772</v>
      </c>
      <c r="R49" s="144">
        <f>J49</f>
        <v>202</v>
      </c>
      <c r="S49" s="26"/>
      <c r="T49" s="140">
        <f>$D$70</f>
        <v>1</v>
      </c>
      <c r="U49" s="141">
        <f t="shared" ref="U49:U50" si="69">M49+5%</f>
        <v>0.5</v>
      </c>
      <c r="V49" s="142">
        <f>X49</f>
        <v>960000</v>
      </c>
      <c r="W49" s="142">
        <v>0.0</v>
      </c>
      <c r="X49" s="142">
        <f t="shared" ref="X49:X50" si="70">$B$49-($B$49*U49)</f>
        <v>960000</v>
      </c>
      <c r="Y49" s="142">
        <f>X49/Z49</f>
        <v>4752.475248</v>
      </c>
      <c r="Z49" s="144">
        <f>R49</f>
        <v>202</v>
      </c>
      <c r="AA49" s="26"/>
      <c r="AB49" s="140">
        <f>$D$70</f>
        <v>1</v>
      </c>
      <c r="AC49" s="141">
        <f t="shared" ref="AC49:AC50" si="71">U49+5%</f>
        <v>0.55</v>
      </c>
      <c r="AD49" s="142">
        <f>AF49</f>
        <v>864000</v>
      </c>
      <c r="AE49" s="142">
        <v>0.0</v>
      </c>
      <c r="AF49" s="142">
        <f t="shared" ref="AF49:AF50" si="72">$B$49-($B$49*AC49)</f>
        <v>864000</v>
      </c>
      <c r="AG49" s="142">
        <f>AF49/AH49</f>
        <v>4277.227723</v>
      </c>
      <c r="AH49" s="144">
        <f>Z49</f>
        <v>202</v>
      </c>
    </row>
    <row r="50" ht="14.25" customHeight="1">
      <c r="A50" s="68"/>
      <c r="B50" s="69"/>
      <c r="C50" s="26"/>
      <c r="D50" s="148">
        <v>3.0</v>
      </c>
      <c r="E50" s="149">
        <f>E49/2</f>
        <v>0.2</v>
      </c>
      <c r="F50" s="150">
        <f>H50/D50</f>
        <v>512000</v>
      </c>
      <c r="G50" s="151">
        <f>(H50-F50)/(D50-1)</f>
        <v>512000</v>
      </c>
      <c r="H50" s="151">
        <f t="shared" si="66"/>
        <v>1536000</v>
      </c>
      <c r="I50" s="151">
        <f>H50/J49</f>
        <v>7603.960396</v>
      </c>
      <c r="J50" s="153">
        <f>J49/D50</f>
        <v>67.33333333</v>
      </c>
      <c r="K50" s="26"/>
      <c r="L50" s="148">
        <f>$D$71</f>
        <v>3</v>
      </c>
      <c r="M50" s="149">
        <f t="shared" si="67"/>
        <v>0.25</v>
      </c>
      <c r="N50" s="150">
        <f>P50/L50</f>
        <v>480000</v>
      </c>
      <c r="O50" s="151">
        <f>(P50-N50)/(L50-1)</f>
        <v>480000</v>
      </c>
      <c r="P50" s="151">
        <f t="shared" si="68"/>
        <v>1440000</v>
      </c>
      <c r="Q50" s="151">
        <f>P50/R49</f>
        <v>7128.712871</v>
      </c>
      <c r="R50" s="153">
        <v>27.0</v>
      </c>
      <c r="S50" s="26"/>
      <c r="T50" s="148">
        <f>$D$71</f>
        <v>3</v>
      </c>
      <c r="U50" s="149">
        <f t="shared" si="69"/>
        <v>0.3</v>
      </c>
      <c r="V50" s="150">
        <f>X50/T50</f>
        <v>448000</v>
      </c>
      <c r="W50" s="151">
        <f>(X50-V50)/(T50-1)</f>
        <v>448000</v>
      </c>
      <c r="X50" s="151">
        <f t="shared" si="70"/>
        <v>1344000</v>
      </c>
      <c r="Y50" s="151">
        <f>X50/Z49</f>
        <v>6653.465347</v>
      </c>
      <c r="Z50" s="153">
        <v>27.0</v>
      </c>
      <c r="AA50" s="26"/>
      <c r="AB50" s="148">
        <f>$D$71</f>
        <v>3</v>
      </c>
      <c r="AC50" s="149">
        <f t="shared" si="71"/>
        <v>0.35</v>
      </c>
      <c r="AD50" s="150">
        <f>AF50/AB50</f>
        <v>416000</v>
      </c>
      <c r="AE50" s="151">
        <f>(AF50-AD50)/(AB50-1)</f>
        <v>416000</v>
      </c>
      <c r="AF50" s="151">
        <f t="shared" si="72"/>
        <v>1248000</v>
      </c>
      <c r="AG50" s="151">
        <f>AF50/AH49</f>
        <v>6178.217822</v>
      </c>
      <c r="AH50" s="153">
        <v>27.0</v>
      </c>
    </row>
    <row r="51" ht="5.25" customHeight="1">
      <c r="A51" s="175"/>
      <c r="B51" s="176"/>
      <c r="C51" s="177"/>
      <c r="D51" s="178"/>
      <c r="E51" s="179"/>
      <c r="F51" s="180"/>
      <c r="G51" s="181"/>
      <c r="H51" s="181"/>
      <c r="I51" s="183"/>
      <c r="J51" s="178"/>
      <c r="K51" s="177"/>
      <c r="L51" s="178"/>
      <c r="M51" s="179"/>
      <c r="N51" s="180"/>
      <c r="O51" s="181"/>
      <c r="P51" s="181"/>
      <c r="Q51" s="183"/>
      <c r="R51" s="178"/>
      <c r="S51" s="177"/>
      <c r="T51" s="178"/>
      <c r="U51" s="179"/>
      <c r="V51" s="180"/>
      <c r="W51" s="181"/>
      <c r="X51" s="181"/>
      <c r="Y51" s="183"/>
      <c r="Z51" s="178"/>
      <c r="AA51" s="177"/>
      <c r="AB51" s="178"/>
      <c r="AC51" s="179"/>
      <c r="AD51" s="180"/>
      <c r="AE51" s="181"/>
      <c r="AF51" s="181"/>
      <c r="AG51" s="183"/>
      <c r="AH51" s="178"/>
    </row>
    <row r="52" ht="14.25" customHeight="1">
      <c r="A52" s="175"/>
      <c r="B52" s="176"/>
      <c r="C52" s="177"/>
      <c r="D52" s="178"/>
      <c r="E52" s="179"/>
      <c r="F52" s="184" t="s">
        <v>59</v>
      </c>
      <c r="G52" s="185" t="s">
        <v>60</v>
      </c>
      <c r="H52" s="186">
        <f t="shared" ref="H52:H53" si="73">H43+H46+H49</f>
        <v>4320000</v>
      </c>
      <c r="I52" s="183"/>
      <c r="J52" s="178"/>
      <c r="K52" s="177"/>
      <c r="L52" s="178"/>
      <c r="M52" s="179"/>
      <c r="N52" s="184" t="s">
        <v>59</v>
      </c>
      <c r="O52" s="185" t="s">
        <v>60</v>
      </c>
      <c r="P52" s="186">
        <f t="shared" ref="P52:P53" si="74">P43+P46+P49</f>
        <v>4032000</v>
      </c>
      <c r="Q52" s="183"/>
      <c r="R52" s="178"/>
      <c r="S52" s="177"/>
      <c r="T52" s="178"/>
      <c r="U52" s="179"/>
      <c r="V52" s="184" t="s">
        <v>59</v>
      </c>
      <c r="W52" s="185" t="s">
        <v>60</v>
      </c>
      <c r="X52" s="186">
        <f t="shared" ref="X52:X53" si="75">X43+X46+X49</f>
        <v>3744000</v>
      </c>
      <c r="Y52" s="183"/>
      <c r="Z52" s="178"/>
      <c r="AA52" s="177"/>
      <c r="AB52" s="178"/>
      <c r="AC52" s="179"/>
      <c r="AD52" s="184" t="s">
        <v>59</v>
      </c>
      <c r="AE52" s="185" t="s">
        <v>60</v>
      </c>
      <c r="AF52" s="186">
        <f t="shared" ref="AF52:AF53" si="76">AF43+AF46+AF49</f>
        <v>3456000</v>
      </c>
      <c r="AG52" s="183"/>
      <c r="AH52" s="178"/>
    </row>
    <row r="53" ht="14.25" customHeight="1">
      <c r="A53" s="175"/>
      <c r="B53" s="176"/>
      <c r="C53" s="177"/>
      <c r="D53" s="178"/>
      <c r="E53" s="179"/>
      <c r="F53" s="96"/>
      <c r="G53" s="186" t="s">
        <v>61</v>
      </c>
      <c r="H53" s="186">
        <f t="shared" si="73"/>
        <v>5136000</v>
      </c>
      <c r="I53" s="183"/>
      <c r="J53" s="178"/>
      <c r="K53" s="177"/>
      <c r="L53" s="178"/>
      <c r="M53" s="179"/>
      <c r="N53" s="96"/>
      <c r="O53" s="186" t="s">
        <v>61</v>
      </c>
      <c r="P53" s="186">
        <f t="shared" si="74"/>
        <v>4848000</v>
      </c>
      <c r="Q53" s="183"/>
      <c r="R53" s="178"/>
      <c r="S53" s="177"/>
      <c r="T53" s="178"/>
      <c r="U53" s="179"/>
      <c r="V53" s="96"/>
      <c r="W53" s="186" t="s">
        <v>61</v>
      </c>
      <c r="X53" s="186">
        <f t="shared" si="75"/>
        <v>4560000</v>
      </c>
      <c r="Y53" s="183"/>
      <c r="Z53" s="178"/>
      <c r="AA53" s="177"/>
      <c r="AB53" s="178"/>
      <c r="AC53" s="179"/>
      <c r="AD53" s="96"/>
      <c r="AE53" s="186" t="s">
        <v>61</v>
      </c>
      <c r="AF53" s="186">
        <f t="shared" si="76"/>
        <v>4272000</v>
      </c>
      <c r="AG53" s="183"/>
      <c r="AH53" s="178"/>
    </row>
    <row r="54" ht="14.25" customHeight="1">
      <c r="A54" s="175"/>
      <c r="B54" s="176"/>
      <c r="C54" s="177"/>
      <c r="D54" s="178"/>
      <c r="E54" s="179"/>
      <c r="F54" s="180"/>
      <c r="G54" s="181"/>
      <c r="H54" s="181"/>
      <c r="I54" s="183"/>
      <c r="J54" s="178"/>
      <c r="K54" s="177"/>
      <c r="L54" s="178"/>
      <c r="M54" s="179"/>
      <c r="N54" s="180"/>
      <c r="O54" s="181"/>
      <c r="P54" s="181"/>
      <c r="Q54" s="183"/>
      <c r="R54" s="178"/>
      <c r="S54" s="177"/>
      <c r="T54" s="178"/>
      <c r="U54" s="179"/>
      <c r="V54" s="180"/>
      <c r="W54" s="181"/>
      <c r="X54" s="181"/>
      <c r="Y54" s="183"/>
      <c r="Z54" s="178"/>
      <c r="AA54" s="177"/>
      <c r="AB54" s="178"/>
      <c r="AC54" s="179"/>
      <c r="AD54" s="180"/>
      <c r="AE54" s="181"/>
      <c r="AF54" s="181"/>
      <c r="AG54" s="183"/>
      <c r="AH54" s="178"/>
    </row>
    <row r="55" ht="14.25" customHeight="1">
      <c r="A55" s="245" t="s">
        <v>105</v>
      </c>
      <c r="B55" s="8"/>
      <c r="C55" s="26"/>
      <c r="D55" s="191" t="s">
        <v>64</v>
      </c>
      <c r="E55" s="192"/>
      <c r="F55" s="192"/>
      <c r="G55" s="192"/>
      <c r="H55" s="192"/>
      <c r="I55" s="192"/>
      <c r="J55" s="8"/>
      <c r="K55" s="26"/>
      <c r="L55" s="194" t="s">
        <v>65</v>
      </c>
      <c r="M55" s="192"/>
      <c r="N55" s="192"/>
      <c r="O55" s="192"/>
      <c r="P55" s="192"/>
      <c r="Q55" s="192"/>
      <c r="R55" s="8"/>
      <c r="S55" s="26"/>
      <c r="T55" s="196" t="s">
        <v>66</v>
      </c>
      <c r="U55" s="192"/>
      <c r="V55" s="192"/>
      <c r="W55" s="192"/>
      <c r="X55" s="192"/>
      <c r="Y55" s="192"/>
      <c r="Z55" s="8"/>
      <c r="AA55" s="26"/>
      <c r="AB55" s="197" t="s">
        <v>67</v>
      </c>
      <c r="AC55" s="192"/>
      <c r="AD55" s="192"/>
      <c r="AE55" s="192"/>
      <c r="AF55" s="192"/>
      <c r="AG55" s="192"/>
      <c r="AH55" s="8"/>
    </row>
    <row r="56" ht="14.25" customHeight="1">
      <c r="A56" s="21"/>
      <c r="B56" s="22"/>
      <c r="C56" s="26"/>
      <c r="D56" s="21"/>
      <c r="E56" s="200"/>
      <c r="F56" s="200"/>
      <c r="G56" s="200"/>
      <c r="H56" s="200"/>
      <c r="I56" s="200"/>
      <c r="J56" s="22"/>
      <c r="K56" s="26"/>
      <c r="L56" s="21"/>
      <c r="M56" s="200"/>
      <c r="N56" s="200"/>
      <c r="O56" s="200"/>
      <c r="P56" s="200"/>
      <c r="Q56" s="200"/>
      <c r="R56" s="22"/>
      <c r="S56" s="26"/>
      <c r="T56" s="21"/>
      <c r="U56" s="200"/>
      <c r="V56" s="200"/>
      <c r="W56" s="200"/>
      <c r="X56" s="200"/>
      <c r="Y56" s="200"/>
      <c r="Z56" s="22"/>
      <c r="AA56" s="26"/>
      <c r="AB56" s="21"/>
      <c r="AC56" s="200"/>
      <c r="AD56" s="200"/>
      <c r="AE56" s="200"/>
      <c r="AF56" s="200"/>
      <c r="AG56" s="200"/>
      <c r="AH56" s="22"/>
    </row>
    <row r="57" ht="15.75" customHeight="1">
      <c r="A57" s="51" t="s">
        <v>12</v>
      </c>
      <c r="B57" s="51" t="s">
        <v>13</v>
      </c>
      <c r="C57" s="52"/>
      <c r="D57" s="53" t="s">
        <v>14</v>
      </c>
      <c r="E57" s="54" t="s">
        <v>16</v>
      </c>
      <c r="F57" s="55" t="s">
        <v>17</v>
      </c>
      <c r="G57" s="55" t="s">
        <v>18</v>
      </c>
      <c r="H57" s="55" t="s">
        <v>19</v>
      </c>
      <c r="I57" s="58" t="s">
        <v>20</v>
      </c>
      <c r="J57" s="60" t="s">
        <v>22</v>
      </c>
      <c r="K57" s="52"/>
      <c r="L57" s="51" t="s">
        <v>14</v>
      </c>
      <c r="M57" s="62" t="s">
        <v>16</v>
      </c>
      <c r="N57" s="51" t="s">
        <v>17</v>
      </c>
      <c r="O57" s="51" t="s">
        <v>18</v>
      </c>
      <c r="P57" s="51" t="s">
        <v>19</v>
      </c>
      <c r="Q57" s="64" t="s">
        <v>20</v>
      </c>
      <c r="R57" s="66" t="s">
        <v>22</v>
      </c>
      <c r="S57" s="52"/>
      <c r="T57" s="51" t="s">
        <v>14</v>
      </c>
      <c r="U57" s="62" t="s">
        <v>16</v>
      </c>
      <c r="V57" s="51" t="s">
        <v>17</v>
      </c>
      <c r="W57" s="51" t="s">
        <v>18</v>
      </c>
      <c r="X57" s="51" t="s">
        <v>19</v>
      </c>
      <c r="Y57" s="64" t="s">
        <v>20</v>
      </c>
      <c r="Z57" s="66" t="s">
        <v>22</v>
      </c>
      <c r="AA57" s="52"/>
      <c r="AB57" s="51" t="s">
        <v>14</v>
      </c>
      <c r="AC57" s="62" t="s">
        <v>16</v>
      </c>
      <c r="AD57" s="51" t="s">
        <v>17</v>
      </c>
      <c r="AE57" s="51" t="s">
        <v>18</v>
      </c>
      <c r="AF57" s="51" t="s">
        <v>19</v>
      </c>
      <c r="AG57" s="64" t="s">
        <v>20</v>
      </c>
      <c r="AH57" s="66" t="s">
        <v>22</v>
      </c>
    </row>
    <row r="58" ht="14.25" customHeight="1">
      <c r="A58" s="41" t="s">
        <v>71</v>
      </c>
      <c r="B58" s="43">
        <v>1920000.0</v>
      </c>
      <c r="C58" s="26"/>
      <c r="D58" s="45">
        <v>1.0</v>
      </c>
      <c r="E58" s="46">
        <v>0.1</v>
      </c>
      <c r="F58" s="48">
        <f>H58</f>
        <v>1728000</v>
      </c>
      <c r="G58" s="48">
        <v>0.0</v>
      </c>
      <c r="H58" s="48">
        <f t="shared" ref="H58:H59" si="77">$B$58-($B$58*E58)</f>
        <v>1728000</v>
      </c>
      <c r="I58" s="80">
        <f>H58/J58</f>
        <v>8554.455446</v>
      </c>
      <c r="J58" s="50">
        <v>202.0</v>
      </c>
      <c r="K58" s="26"/>
      <c r="L58" s="45">
        <f>$D$58</f>
        <v>1</v>
      </c>
      <c r="M58" s="46">
        <f t="shared" ref="M58:M59" si="78">E58+5%</f>
        <v>0.15</v>
      </c>
      <c r="N58" s="48">
        <f>P58</f>
        <v>1632000</v>
      </c>
      <c r="O58" s="48">
        <v>0.0</v>
      </c>
      <c r="P58" s="48">
        <f t="shared" ref="P58:P59" si="79">$B$58-($B$58*M58)</f>
        <v>1632000</v>
      </c>
      <c r="Q58" s="48">
        <f>P58/R58</f>
        <v>8079.207921</v>
      </c>
      <c r="R58" s="50">
        <f>J58</f>
        <v>202</v>
      </c>
      <c r="S58" s="26"/>
      <c r="T58" s="45">
        <f>$D$58</f>
        <v>1</v>
      </c>
      <c r="U58" s="46">
        <f t="shared" ref="U58:U59" si="80">M58+5%</f>
        <v>0.2</v>
      </c>
      <c r="V58" s="48">
        <f>X58</f>
        <v>1536000</v>
      </c>
      <c r="W58" s="48">
        <v>0.0</v>
      </c>
      <c r="X58" s="48">
        <f t="shared" ref="X58:X59" si="81">$B$58-($B$58*U58)</f>
        <v>1536000</v>
      </c>
      <c r="Y58" s="48">
        <f>X58/Z58</f>
        <v>7603.960396</v>
      </c>
      <c r="Z58" s="50">
        <f>R58</f>
        <v>202</v>
      </c>
      <c r="AA58" s="26"/>
      <c r="AB58" s="45">
        <f>$D$58</f>
        <v>1</v>
      </c>
      <c r="AC58" s="46">
        <f t="shared" ref="AC58:AC59" si="82">U58+5%</f>
        <v>0.25</v>
      </c>
      <c r="AD58" s="48">
        <f>AF58</f>
        <v>1440000</v>
      </c>
      <c r="AE58" s="48">
        <v>0.0</v>
      </c>
      <c r="AF58" s="48">
        <f t="shared" ref="AF58:AF59" si="83">$B$58-($B$58*AC58)</f>
        <v>1440000</v>
      </c>
      <c r="AG58" s="48">
        <f>AF58/AH58</f>
        <v>7128.712871</v>
      </c>
      <c r="AH58" s="50">
        <f>Z58</f>
        <v>202</v>
      </c>
    </row>
    <row r="59" ht="14.25" customHeight="1">
      <c r="A59" s="68"/>
      <c r="B59" s="69"/>
      <c r="C59" s="26"/>
      <c r="D59" s="71">
        <v>3.0</v>
      </c>
      <c r="E59" s="72">
        <v>0.0</v>
      </c>
      <c r="F59" s="73">
        <f>H59/D59</f>
        <v>640000</v>
      </c>
      <c r="G59" s="74">
        <f>(H59-F59)/(D59-1)</f>
        <v>640000</v>
      </c>
      <c r="H59" s="74">
        <f t="shared" si="77"/>
        <v>1920000</v>
      </c>
      <c r="I59" s="74">
        <f>H59/J58</f>
        <v>9504.950495</v>
      </c>
      <c r="J59" s="98">
        <f>J58/D59</f>
        <v>67.33333333</v>
      </c>
      <c r="K59" s="26"/>
      <c r="L59" s="71">
        <f>$D$59</f>
        <v>3</v>
      </c>
      <c r="M59" s="72">
        <f t="shared" si="78"/>
        <v>0.05</v>
      </c>
      <c r="N59" s="73">
        <f>P59/L59</f>
        <v>608000</v>
      </c>
      <c r="O59" s="74">
        <f>(P59-N59)/(L59-1)</f>
        <v>608000</v>
      </c>
      <c r="P59" s="74">
        <f t="shared" si="79"/>
        <v>1824000</v>
      </c>
      <c r="Q59" s="74">
        <f>P59/R58</f>
        <v>9029.70297</v>
      </c>
      <c r="R59" s="98">
        <v>27.0</v>
      </c>
      <c r="S59" s="26"/>
      <c r="T59" s="71">
        <f>$D$59</f>
        <v>3</v>
      </c>
      <c r="U59" s="72">
        <f t="shared" si="80"/>
        <v>0.1</v>
      </c>
      <c r="V59" s="73">
        <f>X59/T59</f>
        <v>576000</v>
      </c>
      <c r="W59" s="74">
        <f>(X59-V59)/(T59-1)</f>
        <v>576000</v>
      </c>
      <c r="X59" s="74">
        <f t="shared" si="81"/>
        <v>1728000</v>
      </c>
      <c r="Y59" s="74">
        <f>X59/Z58</f>
        <v>8554.455446</v>
      </c>
      <c r="Z59" s="98">
        <v>27.0</v>
      </c>
      <c r="AA59" s="26"/>
      <c r="AB59" s="71">
        <f>$D$59</f>
        <v>3</v>
      </c>
      <c r="AC59" s="72">
        <f t="shared" si="82"/>
        <v>0.15</v>
      </c>
      <c r="AD59" s="73">
        <f>AF59/AB59</f>
        <v>544000</v>
      </c>
      <c r="AE59" s="74">
        <f>(AF59-AD59)/(AB59-1)</f>
        <v>544000</v>
      </c>
      <c r="AF59" s="74">
        <f t="shared" si="83"/>
        <v>1632000</v>
      </c>
      <c r="AG59" s="74">
        <f>AF59/AH58</f>
        <v>8079.207921</v>
      </c>
      <c r="AH59" s="98">
        <v>27.0</v>
      </c>
    </row>
    <row r="60" ht="7.5" customHeight="1">
      <c r="A60" s="100"/>
      <c r="B60" s="101"/>
      <c r="C60" s="26"/>
      <c r="D60" s="102"/>
      <c r="E60" s="103"/>
      <c r="F60" s="104"/>
      <c r="G60" s="105"/>
      <c r="H60" s="105"/>
      <c r="I60" s="106"/>
      <c r="J60" s="107"/>
      <c r="K60" s="26"/>
      <c r="L60" s="102"/>
      <c r="M60" s="103"/>
      <c r="N60" s="104"/>
      <c r="O60" s="105"/>
      <c r="P60" s="105"/>
      <c r="Q60" s="105"/>
      <c r="R60" s="107"/>
      <c r="S60" s="26"/>
      <c r="T60" s="102"/>
      <c r="U60" s="103"/>
      <c r="V60" s="104"/>
      <c r="W60" s="105"/>
      <c r="X60" s="105"/>
      <c r="Y60" s="105"/>
      <c r="Z60" s="107"/>
      <c r="AA60" s="26"/>
      <c r="AB60" s="102"/>
      <c r="AC60" s="103"/>
      <c r="AD60" s="104"/>
      <c r="AE60" s="105"/>
      <c r="AF60" s="105"/>
      <c r="AG60" s="105"/>
      <c r="AH60" s="107"/>
    </row>
    <row r="61" ht="14.25" customHeight="1">
      <c r="A61" s="109" t="s">
        <v>56</v>
      </c>
      <c r="B61" s="110">
        <v>1920000.0</v>
      </c>
      <c r="C61" s="26"/>
      <c r="D61" s="111">
        <v>1.0</v>
      </c>
      <c r="E61" s="112">
        <f>E58+15%</f>
        <v>0.25</v>
      </c>
      <c r="F61" s="113">
        <f>H61</f>
        <v>1440000</v>
      </c>
      <c r="G61" s="113">
        <v>0.0</v>
      </c>
      <c r="H61" s="113">
        <f t="shared" ref="H61:H62" si="84">$B$61-($B$61*E61)</f>
        <v>1440000</v>
      </c>
      <c r="I61" s="115">
        <f>H61/J61</f>
        <v>7128.712871</v>
      </c>
      <c r="J61" s="116">
        <v>202.0</v>
      </c>
      <c r="K61" s="26"/>
      <c r="L61" s="111">
        <f>$D$70</f>
        <v>1</v>
      </c>
      <c r="M61" s="112">
        <f t="shared" ref="M61:M62" si="85">E61+5%</f>
        <v>0.3</v>
      </c>
      <c r="N61" s="113">
        <f>P61</f>
        <v>1344000</v>
      </c>
      <c r="O61" s="113">
        <v>0.0</v>
      </c>
      <c r="P61" s="113">
        <f t="shared" ref="P61:P62" si="86">$B$61-($B$61*M61)</f>
        <v>1344000</v>
      </c>
      <c r="Q61" s="113">
        <f>P61/R61</f>
        <v>6653.465347</v>
      </c>
      <c r="R61" s="116">
        <f>J61</f>
        <v>202</v>
      </c>
      <c r="S61" s="26"/>
      <c r="T61" s="111">
        <f>$D$70</f>
        <v>1</v>
      </c>
      <c r="U61" s="112">
        <f t="shared" ref="U61:U62" si="87">M61+5%</f>
        <v>0.35</v>
      </c>
      <c r="V61" s="113">
        <f>X61</f>
        <v>1248000</v>
      </c>
      <c r="W61" s="113">
        <v>0.0</v>
      </c>
      <c r="X61" s="113">
        <f t="shared" ref="X61:X62" si="88">$B$61-($B$61*U61)</f>
        <v>1248000</v>
      </c>
      <c r="Y61" s="113">
        <f>X61/Z61</f>
        <v>6178.217822</v>
      </c>
      <c r="Z61" s="116">
        <f>R61</f>
        <v>202</v>
      </c>
      <c r="AA61" s="26"/>
      <c r="AB61" s="111">
        <f>$D$70</f>
        <v>1</v>
      </c>
      <c r="AC61" s="112">
        <f t="shared" ref="AC61:AC62" si="89">U61+5%</f>
        <v>0.4</v>
      </c>
      <c r="AD61" s="113">
        <f>AF61</f>
        <v>1152000</v>
      </c>
      <c r="AE61" s="113">
        <v>0.0</v>
      </c>
      <c r="AF61" s="113">
        <f t="shared" ref="AF61:AF62" si="90">$B$61-($B$61*AC61)</f>
        <v>1152000</v>
      </c>
      <c r="AG61" s="113">
        <f>AF61/AH61</f>
        <v>5702.970297</v>
      </c>
      <c r="AH61" s="116">
        <f>Z61</f>
        <v>202</v>
      </c>
    </row>
    <row r="62" ht="14.25" customHeight="1">
      <c r="A62" s="68"/>
      <c r="B62" s="69"/>
      <c r="C62" s="26"/>
      <c r="D62" s="119">
        <v>3.0</v>
      </c>
      <c r="E62" s="120">
        <f>E61/2</f>
        <v>0.125</v>
      </c>
      <c r="F62" s="121">
        <f>H62/D62</f>
        <v>560000</v>
      </c>
      <c r="G62" s="122">
        <f>(H62-F62)/(D62-1)</f>
        <v>560000</v>
      </c>
      <c r="H62" s="122">
        <f t="shared" si="84"/>
        <v>1680000</v>
      </c>
      <c r="I62" s="122">
        <f>H62/J61</f>
        <v>8316.831683</v>
      </c>
      <c r="J62" s="202">
        <f>J61/D62</f>
        <v>67.33333333</v>
      </c>
      <c r="K62" s="26"/>
      <c r="L62" s="119">
        <f>$D$71</f>
        <v>3</v>
      </c>
      <c r="M62" s="120">
        <f t="shared" si="85"/>
        <v>0.175</v>
      </c>
      <c r="N62" s="121">
        <f>P62/L62</f>
        <v>528000</v>
      </c>
      <c r="O62" s="122">
        <f>(P62-N62)/(L62-1)</f>
        <v>528000</v>
      </c>
      <c r="P62" s="122">
        <f t="shared" si="86"/>
        <v>1584000</v>
      </c>
      <c r="Q62" s="122">
        <f>P62/R61</f>
        <v>7841.584158</v>
      </c>
      <c r="R62" s="202">
        <v>27.0</v>
      </c>
      <c r="S62" s="26"/>
      <c r="T62" s="119">
        <f>$D$71</f>
        <v>3</v>
      </c>
      <c r="U62" s="120">
        <f t="shared" si="87"/>
        <v>0.225</v>
      </c>
      <c r="V62" s="121">
        <f>X62/T62</f>
        <v>496000</v>
      </c>
      <c r="W62" s="122">
        <f>(X62-V62)/(T62-1)</f>
        <v>496000</v>
      </c>
      <c r="X62" s="122">
        <f t="shared" si="88"/>
        <v>1488000</v>
      </c>
      <c r="Y62" s="122">
        <f>X62/Z61</f>
        <v>7366.336634</v>
      </c>
      <c r="Z62" s="202">
        <v>27.0</v>
      </c>
      <c r="AA62" s="26"/>
      <c r="AB62" s="119">
        <f>$D$71</f>
        <v>3</v>
      </c>
      <c r="AC62" s="120">
        <f t="shared" si="89"/>
        <v>0.275</v>
      </c>
      <c r="AD62" s="121">
        <f>AF62/AB62</f>
        <v>464000</v>
      </c>
      <c r="AE62" s="122">
        <f>(AF62-AD62)/(AB62-1)</f>
        <v>464000</v>
      </c>
      <c r="AF62" s="122">
        <f t="shared" si="90"/>
        <v>1392000</v>
      </c>
      <c r="AG62" s="122">
        <f>AF62/AH61</f>
        <v>6891.089109</v>
      </c>
      <c r="AH62" s="202">
        <v>27.0</v>
      </c>
    </row>
    <row r="63" ht="5.25" customHeight="1">
      <c r="A63" s="175"/>
      <c r="B63" s="176"/>
      <c r="C63" s="177"/>
      <c r="D63" s="178"/>
      <c r="E63" s="179"/>
      <c r="F63" s="180"/>
      <c r="G63" s="181"/>
      <c r="H63" s="181"/>
      <c r="I63" s="183"/>
      <c r="J63" s="178"/>
      <c r="K63" s="177"/>
      <c r="L63" s="178"/>
      <c r="M63" s="179"/>
      <c r="N63" s="180"/>
      <c r="O63" s="181"/>
      <c r="P63" s="181"/>
      <c r="Q63" s="183"/>
      <c r="R63" s="178"/>
      <c r="S63" s="177"/>
      <c r="T63" s="178"/>
      <c r="U63" s="179"/>
      <c r="V63" s="180"/>
      <c r="W63" s="181"/>
      <c r="X63" s="181"/>
      <c r="Y63" s="183"/>
      <c r="Z63" s="178"/>
      <c r="AA63" s="177"/>
      <c r="AB63" s="178"/>
      <c r="AC63" s="179"/>
      <c r="AD63" s="180"/>
      <c r="AE63" s="181"/>
      <c r="AF63" s="181"/>
      <c r="AG63" s="183"/>
      <c r="AH63" s="178"/>
    </row>
    <row r="64" ht="14.25" customHeight="1">
      <c r="A64" s="175"/>
      <c r="B64" s="176"/>
      <c r="C64" s="177"/>
      <c r="D64" s="178"/>
      <c r="E64" s="179"/>
      <c r="F64" s="184" t="s">
        <v>59</v>
      </c>
      <c r="G64" s="185" t="s">
        <v>60</v>
      </c>
      <c r="H64" s="186">
        <f t="shared" ref="H64:H65" si="91">+H58+H61</f>
        <v>3168000</v>
      </c>
      <c r="I64" s="183"/>
      <c r="J64" s="178"/>
      <c r="K64" s="177"/>
      <c r="L64" s="178"/>
      <c r="M64" s="179"/>
      <c r="N64" s="184" t="s">
        <v>59</v>
      </c>
      <c r="O64" s="185" t="s">
        <v>60</v>
      </c>
      <c r="P64" s="186">
        <f t="shared" ref="P64:P65" si="92">+P58+P61</f>
        <v>2976000</v>
      </c>
      <c r="Q64" s="183"/>
      <c r="R64" s="178"/>
      <c r="S64" s="177"/>
      <c r="T64" s="178"/>
      <c r="U64" s="179"/>
      <c r="V64" s="184" t="s">
        <v>59</v>
      </c>
      <c r="W64" s="185" t="s">
        <v>60</v>
      </c>
      <c r="X64" s="186">
        <f t="shared" ref="X64:X65" si="93">+X58+X61</f>
        <v>2784000</v>
      </c>
      <c r="Y64" s="183"/>
      <c r="Z64" s="178"/>
      <c r="AA64" s="177"/>
      <c r="AB64" s="178"/>
      <c r="AC64" s="179"/>
      <c r="AD64" s="184" t="s">
        <v>59</v>
      </c>
      <c r="AE64" s="185" t="s">
        <v>60</v>
      </c>
      <c r="AF64" s="186">
        <f t="shared" ref="AF64:AF65" si="94">+AF58+AF61</f>
        <v>2592000</v>
      </c>
      <c r="AG64" s="183"/>
      <c r="AH64" s="178"/>
    </row>
    <row r="65" ht="14.25" customHeight="1">
      <c r="A65" s="175"/>
      <c r="B65" s="176"/>
      <c r="C65" s="177"/>
      <c r="D65" s="178"/>
      <c r="E65" s="179"/>
      <c r="F65" s="96"/>
      <c r="G65" s="186" t="s">
        <v>61</v>
      </c>
      <c r="H65" s="186">
        <f t="shared" si="91"/>
        <v>3600000</v>
      </c>
      <c r="I65" s="183"/>
      <c r="J65" s="178"/>
      <c r="K65" s="177"/>
      <c r="L65" s="178"/>
      <c r="M65" s="179"/>
      <c r="N65" s="96"/>
      <c r="O65" s="186" t="s">
        <v>61</v>
      </c>
      <c r="P65" s="186">
        <f t="shared" si="92"/>
        <v>3408000</v>
      </c>
      <c r="Q65" s="183"/>
      <c r="R65" s="178"/>
      <c r="S65" s="177"/>
      <c r="T65" s="178"/>
      <c r="U65" s="179"/>
      <c r="V65" s="96"/>
      <c r="W65" s="186" t="s">
        <v>61</v>
      </c>
      <c r="X65" s="186">
        <f t="shared" si="93"/>
        <v>3216000</v>
      </c>
      <c r="Y65" s="183"/>
      <c r="Z65" s="178"/>
      <c r="AA65" s="177"/>
      <c r="AB65" s="178"/>
      <c r="AC65" s="179"/>
      <c r="AD65" s="96"/>
      <c r="AE65" s="186" t="s">
        <v>61</v>
      </c>
      <c r="AF65" s="186">
        <f t="shared" si="94"/>
        <v>3024000</v>
      </c>
      <c r="AG65" s="183"/>
      <c r="AH65" s="178"/>
    </row>
    <row r="66" ht="14.25" customHeight="1">
      <c r="A66" s="175"/>
      <c r="B66" s="176"/>
      <c r="C66" s="177"/>
      <c r="D66" s="178"/>
      <c r="E66" s="179"/>
      <c r="F66" s="180"/>
      <c r="G66" s="181"/>
      <c r="H66" s="181"/>
      <c r="I66" s="183"/>
      <c r="J66" s="178"/>
      <c r="K66" s="177"/>
      <c r="L66" s="178"/>
      <c r="M66" s="179"/>
      <c r="N66" s="180"/>
      <c r="O66" s="181"/>
      <c r="P66" s="181"/>
      <c r="Q66" s="183"/>
      <c r="R66" s="178"/>
      <c r="S66" s="177"/>
      <c r="T66" s="178"/>
      <c r="U66" s="179"/>
      <c r="V66" s="180"/>
      <c r="W66" s="181"/>
      <c r="X66" s="181"/>
      <c r="Y66" s="183"/>
      <c r="Z66" s="178"/>
      <c r="AA66" s="177"/>
      <c r="AB66" s="178"/>
      <c r="AC66" s="179"/>
      <c r="AD66" s="180"/>
      <c r="AE66" s="181"/>
      <c r="AF66" s="181"/>
      <c r="AG66" s="183"/>
      <c r="AH66" s="178"/>
    </row>
    <row r="67" ht="14.25" customHeight="1">
      <c r="A67" s="245" t="s">
        <v>129</v>
      </c>
      <c r="B67" s="8"/>
      <c r="C67" s="26"/>
      <c r="D67" s="191" t="s">
        <v>64</v>
      </c>
      <c r="E67" s="192"/>
      <c r="F67" s="192"/>
      <c r="G67" s="192"/>
      <c r="H67" s="192"/>
      <c r="I67" s="192"/>
      <c r="J67" s="8"/>
      <c r="K67" s="26"/>
      <c r="L67" s="194" t="s">
        <v>65</v>
      </c>
      <c r="M67" s="192"/>
      <c r="N67" s="192"/>
      <c r="O67" s="192"/>
      <c r="P67" s="192"/>
      <c r="Q67" s="192"/>
      <c r="R67" s="8"/>
      <c r="S67" s="26"/>
      <c r="T67" s="196" t="s">
        <v>66</v>
      </c>
      <c r="U67" s="192"/>
      <c r="V67" s="192"/>
      <c r="W67" s="192"/>
      <c r="X67" s="192"/>
      <c r="Y67" s="192"/>
      <c r="Z67" s="8"/>
      <c r="AA67" s="26"/>
      <c r="AB67" s="197" t="s">
        <v>67</v>
      </c>
      <c r="AC67" s="192"/>
      <c r="AD67" s="192"/>
      <c r="AE67" s="192"/>
      <c r="AF67" s="192"/>
      <c r="AG67" s="192"/>
      <c r="AH67" s="8"/>
    </row>
    <row r="68" ht="14.25" customHeight="1">
      <c r="A68" s="21"/>
      <c r="B68" s="22"/>
      <c r="C68" s="26"/>
      <c r="D68" s="21"/>
      <c r="E68" s="200"/>
      <c r="F68" s="200"/>
      <c r="G68" s="200"/>
      <c r="H68" s="200"/>
      <c r="I68" s="200"/>
      <c r="J68" s="22"/>
      <c r="K68" s="26"/>
      <c r="L68" s="21"/>
      <c r="M68" s="200"/>
      <c r="N68" s="200"/>
      <c r="O68" s="200"/>
      <c r="P68" s="200"/>
      <c r="Q68" s="200"/>
      <c r="R68" s="22"/>
      <c r="S68" s="26"/>
      <c r="T68" s="21"/>
      <c r="U68" s="200"/>
      <c r="V68" s="200"/>
      <c r="W68" s="200"/>
      <c r="X68" s="200"/>
      <c r="Y68" s="200"/>
      <c r="Z68" s="22"/>
      <c r="AA68" s="26"/>
      <c r="AB68" s="21"/>
      <c r="AC68" s="200"/>
      <c r="AD68" s="200"/>
      <c r="AE68" s="200"/>
      <c r="AF68" s="200"/>
      <c r="AG68" s="200"/>
      <c r="AH68" s="22"/>
    </row>
    <row r="69" ht="15.75" customHeight="1">
      <c r="A69" s="51" t="s">
        <v>12</v>
      </c>
      <c r="B69" s="51" t="s">
        <v>13</v>
      </c>
      <c r="C69" s="52"/>
      <c r="D69" s="53" t="s">
        <v>14</v>
      </c>
      <c r="E69" s="54" t="s">
        <v>16</v>
      </c>
      <c r="F69" s="55" t="s">
        <v>17</v>
      </c>
      <c r="G69" s="55" t="s">
        <v>18</v>
      </c>
      <c r="H69" s="55" t="s">
        <v>19</v>
      </c>
      <c r="I69" s="58" t="s">
        <v>20</v>
      </c>
      <c r="J69" s="60" t="s">
        <v>22</v>
      </c>
      <c r="K69" s="52"/>
      <c r="L69" s="51" t="s">
        <v>14</v>
      </c>
      <c r="M69" s="62" t="s">
        <v>16</v>
      </c>
      <c r="N69" s="51" t="s">
        <v>17</v>
      </c>
      <c r="O69" s="51" t="s">
        <v>18</v>
      </c>
      <c r="P69" s="51" t="s">
        <v>19</v>
      </c>
      <c r="Q69" s="64" t="s">
        <v>20</v>
      </c>
      <c r="R69" s="66" t="s">
        <v>22</v>
      </c>
      <c r="S69" s="52"/>
      <c r="T69" s="51" t="s">
        <v>14</v>
      </c>
      <c r="U69" s="62" t="s">
        <v>16</v>
      </c>
      <c r="V69" s="51" t="s">
        <v>17</v>
      </c>
      <c r="W69" s="51" t="s">
        <v>18</v>
      </c>
      <c r="X69" s="51" t="s">
        <v>19</v>
      </c>
      <c r="Y69" s="64" t="s">
        <v>20</v>
      </c>
      <c r="Z69" s="66" t="s">
        <v>22</v>
      </c>
      <c r="AA69" s="52"/>
      <c r="AB69" s="51" t="s">
        <v>14</v>
      </c>
      <c r="AC69" s="62" t="s">
        <v>16</v>
      </c>
      <c r="AD69" s="51" t="s">
        <v>17</v>
      </c>
      <c r="AE69" s="51" t="s">
        <v>18</v>
      </c>
      <c r="AF69" s="51" t="s">
        <v>19</v>
      </c>
      <c r="AG69" s="64" t="s">
        <v>20</v>
      </c>
      <c r="AH69" s="66" t="s">
        <v>22</v>
      </c>
    </row>
    <row r="70" ht="14.25" customHeight="1">
      <c r="A70" s="41" t="s">
        <v>56</v>
      </c>
      <c r="B70" s="43">
        <v>1920000.0</v>
      </c>
      <c r="C70" s="26"/>
      <c r="D70" s="45">
        <v>1.0</v>
      </c>
      <c r="E70" s="46">
        <v>0.1</v>
      </c>
      <c r="F70" s="48">
        <f>H70</f>
        <v>1728000</v>
      </c>
      <c r="G70" s="48">
        <v>0.0</v>
      </c>
      <c r="H70" s="48">
        <f>B70-(B70*E70)</f>
        <v>1728000</v>
      </c>
      <c r="I70" s="80">
        <f>H70/J70</f>
        <v>8554.455446</v>
      </c>
      <c r="J70" s="50">
        <v>202.0</v>
      </c>
      <c r="K70" s="26"/>
      <c r="L70" s="45">
        <f>$D$70</f>
        <v>1</v>
      </c>
      <c r="M70" s="46">
        <f t="shared" ref="M70:M71" si="95">E70+5%</f>
        <v>0.15</v>
      </c>
      <c r="N70" s="48">
        <f>P70</f>
        <v>1632000</v>
      </c>
      <c r="O70" s="48">
        <v>0.0</v>
      </c>
      <c r="P70" s="48">
        <f t="shared" ref="P70:P71" si="96">$B$70-($B$70*M70)</f>
        <v>1632000</v>
      </c>
      <c r="Q70" s="48">
        <f>P70/R70</f>
        <v>8079.207921</v>
      </c>
      <c r="R70" s="50">
        <f>J70</f>
        <v>202</v>
      </c>
      <c r="S70" s="26"/>
      <c r="T70" s="45">
        <f>$D$70</f>
        <v>1</v>
      </c>
      <c r="U70" s="46">
        <f t="shared" ref="U70:U71" si="97">M70+5%</f>
        <v>0.2</v>
      </c>
      <c r="V70" s="48">
        <f>X70</f>
        <v>1536000</v>
      </c>
      <c r="W70" s="48">
        <v>0.0</v>
      </c>
      <c r="X70" s="48">
        <f t="shared" ref="X70:X71" si="98">$B$70-($B$70*U70)</f>
        <v>1536000</v>
      </c>
      <c r="Y70" s="48">
        <f>X70/Z70</f>
        <v>7603.960396</v>
      </c>
      <c r="Z70" s="50">
        <f>R70</f>
        <v>202</v>
      </c>
      <c r="AA70" s="26"/>
      <c r="AB70" s="45">
        <f>$D$70</f>
        <v>1</v>
      </c>
      <c r="AC70" s="46">
        <f t="shared" ref="AC70:AC71" si="99">U70+5%</f>
        <v>0.25</v>
      </c>
      <c r="AD70" s="48">
        <f>AF70</f>
        <v>1440000</v>
      </c>
      <c r="AE70" s="48">
        <v>0.0</v>
      </c>
      <c r="AF70" s="48">
        <f t="shared" ref="AF70:AF71" si="100">$B$70-($B$70*AC70)</f>
        <v>1440000</v>
      </c>
      <c r="AG70" s="48">
        <f>AF70/AH70</f>
        <v>7128.712871</v>
      </c>
      <c r="AH70" s="50">
        <f>Z70</f>
        <v>202</v>
      </c>
    </row>
    <row r="71" ht="14.25" customHeight="1">
      <c r="A71" s="68"/>
      <c r="B71" s="69"/>
      <c r="C71" s="26"/>
      <c r="D71" s="71">
        <v>3.0</v>
      </c>
      <c r="E71" s="72">
        <v>0.0</v>
      </c>
      <c r="F71" s="73">
        <f>H71/D71</f>
        <v>640000</v>
      </c>
      <c r="G71" s="74">
        <f>(H71-F71)/(D71-1)</f>
        <v>640000</v>
      </c>
      <c r="H71" s="74">
        <f>B70-(B70*E71)</f>
        <v>1920000</v>
      </c>
      <c r="I71" s="74">
        <f>H71/J70</f>
        <v>9504.950495</v>
      </c>
      <c r="J71" s="98">
        <f>J70/D71</f>
        <v>67.33333333</v>
      </c>
      <c r="K71" s="26"/>
      <c r="L71" s="71">
        <f>$D$71</f>
        <v>3</v>
      </c>
      <c r="M71" s="72">
        <f t="shared" si="95"/>
        <v>0.05</v>
      </c>
      <c r="N71" s="73">
        <f>P71/L71</f>
        <v>608000</v>
      </c>
      <c r="O71" s="74">
        <f>(P71-N71)/(L71-1)</f>
        <v>608000</v>
      </c>
      <c r="P71" s="74">
        <f t="shared" si="96"/>
        <v>1824000</v>
      </c>
      <c r="Q71" s="74">
        <f>P71/R70</f>
        <v>9029.70297</v>
      </c>
      <c r="R71" s="98">
        <v>27.0</v>
      </c>
      <c r="S71" s="26"/>
      <c r="T71" s="71">
        <f>$D$71</f>
        <v>3</v>
      </c>
      <c r="U71" s="72">
        <f t="shared" si="97"/>
        <v>0.1</v>
      </c>
      <c r="V71" s="73">
        <f>X71/T71</f>
        <v>576000</v>
      </c>
      <c r="W71" s="74">
        <f>(X71-V71)/(T71-1)</f>
        <v>576000</v>
      </c>
      <c r="X71" s="74">
        <f t="shared" si="98"/>
        <v>1728000</v>
      </c>
      <c r="Y71" s="74">
        <f>X71/Z70</f>
        <v>8554.455446</v>
      </c>
      <c r="Z71" s="98">
        <v>27.0</v>
      </c>
      <c r="AA71" s="26"/>
      <c r="AB71" s="71">
        <f>$D$71</f>
        <v>3</v>
      </c>
      <c r="AC71" s="72">
        <f t="shared" si="99"/>
        <v>0.15</v>
      </c>
      <c r="AD71" s="73">
        <f>AF71/AB71</f>
        <v>544000</v>
      </c>
      <c r="AE71" s="74">
        <f>(AF71-AD71)/(AB71-1)</f>
        <v>544000</v>
      </c>
      <c r="AF71" s="74">
        <f t="shared" si="100"/>
        <v>1632000</v>
      </c>
      <c r="AG71" s="74">
        <f>AF71/AH70</f>
        <v>8079.207921</v>
      </c>
      <c r="AH71" s="98">
        <v>27.0</v>
      </c>
    </row>
    <row r="72" ht="14.25" customHeight="1">
      <c r="A72" s="26"/>
      <c r="B72" s="26"/>
      <c r="C72" s="26"/>
      <c r="D72" s="26"/>
      <c r="E72" s="3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  <row r="73" ht="14.25" customHeight="1">
      <c r="A73" s="26"/>
      <c r="B73" s="26"/>
      <c r="C73" s="26"/>
      <c r="D73" s="26"/>
      <c r="E73" s="3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</row>
    <row r="74" ht="14.25" customHeight="1">
      <c r="A74" s="26"/>
      <c r="B74" s="26"/>
      <c r="C74" s="26"/>
      <c r="D74" s="26"/>
      <c r="E74" s="3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</row>
    <row r="75" ht="14.25" customHeight="1">
      <c r="A75" s="26"/>
      <c r="B75" s="26"/>
      <c r="C75" s="26"/>
      <c r="D75" s="26"/>
      <c r="E75" s="3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</row>
    <row r="76" ht="14.25" customHeight="1">
      <c r="A76" s="26"/>
      <c r="B76" s="26"/>
      <c r="C76" s="26"/>
      <c r="D76" s="26"/>
      <c r="E76" s="3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</row>
    <row r="77" ht="14.25" customHeight="1">
      <c r="A77" s="26"/>
      <c r="B77" s="26"/>
      <c r="C77" s="26"/>
      <c r="D77" s="26"/>
      <c r="E77" s="3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 ht="14.25" customHeight="1">
      <c r="A78" s="26"/>
      <c r="B78" s="26"/>
      <c r="C78" s="26"/>
      <c r="D78" s="26"/>
      <c r="E78" s="3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 ht="14.25" customHeight="1">
      <c r="A79" s="26"/>
      <c r="B79" s="26"/>
      <c r="C79" s="26"/>
      <c r="D79" s="26"/>
      <c r="E79" s="3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</row>
    <row r="80" ht="14.25" customHeight="1">
      <c r="A80" s="26"/>
      <c r="B80" s="26"/>
      <c r="C80" s="26"/>
      <c r="D80" s="26"/>
      <c r="E80" s="3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</row>
    <row r="81" ht="14.25" customHeight="1">
      <c r="A81" s="26"/>
      <c r="B81" s="26"/>
      <c r="C81" s="26"/>
      <c r="D81" s="26"/>
      <c r="E81" s="3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</row>
    <row r="82" ht="14.25" customHeight="1">
      <c r="A82" s="26"/>
      <c r="B82" s="26"/>
      <c r="C82" s="26"/>
      <c r="D82" s="26"/>
      <c r="E82" s="3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</row>
    <row r="83" ht="14.25" customHeight="1">
      <c r="A83" s="26"/>
      <c r="B83" s="26"/>
      <c r="C83" s="26"/>
      <c r="D83" s="26"/>
      <c r="E83" s="3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</row>
    <row r="84" ht="14.25" customHeight="1">
      <c r="A84" s="26"/>
      <c r="B84" s="26"/>
      <c r="C84" s="26"/>
      <c r="D84" s="26"/>
      <c r="E84" s="3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</row>
    <row r="85" ht="14.25" customHeight="1">
      <c r="A85" s="26"/>
      <c r="B85" s="26"/>
      <c r="C85" s="26"/>
      <c r="D85" s="26"/>
      <c r="E85" s="3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</row>
    <row r="86" ht="14.25" customHeight="1">
      <c r="A86" s="26"/>
      <c r="B86" s="26"/>
      <c r="C86" s="26"/>
      <c r="D86" s="26"/>
      <c r="E86" s="3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</row>
    <row r="87" ht="14.25" customHeight="1">
      <c r="A87" s="26"/>
      <c r="B87" s="26"/>
      <c r="C87" s="26"/>
      <c r="D87" s="26"/>
      <c r="E87" s="3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</row>
    <row r="88" ht="14.25" customHeight="1">
      <c r="A88" s="26"/>
      <c r="B88" s="26"/>
      <c r="C88" s="26"/>
      <c r="D88" s="26"/>
      <c r="E88" s="3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</row>
    <row r="89" ht="14.25" customHeight="1">
      <c r="A89" s="26"/>
      <c r="B89" s="26"/>
      <c r="C89" s="26"/>
      <c r="D89" s="26"/>
      <c r="E89" s="3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</row>
    <row r="90" ht="14.25" customHeight="1">
      <c r="A90" s="26"/>
      <c r="B90" s="26"/>
      <c r="C90" s="26"/>
      <c r="D90" s="26"/>
      <c r="E90" s="3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</row>
    <row r="91" ht="14.25" customHeight="1">
      <c r="A91" s="26"/>
      <c r="B91" s="26"/>
      <c r="C91" s="26"/>
      <c r="D91" s="26"/>
      <c r="E91" s="3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</row>
    <row r="92" ht="14.25" customHeight="1">
      <c r="A92" s="26"/>
      <c r="B92" s="26"/>
      <c r="C92" s="26"/>
      <c r="D92" s="26"/>
      <c r="E92" s="3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</row>
    <row r="93" ht="14.25" customHeight="1">
      <c r="A93" s="26"/>
      <c r="B93" s="26"/>
      <c r="C93" s="26"/>
      <c r="D93" s="26"/>
      <c r="E93" s="3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 ht="14.25" customHeight="1">
      <c r="A94" s="26"/>
      <c r="B94" s="26"/>
      <c r="C94" s="26"/>
      <c r="D94" s="26"/>
      <c r="E94" s="3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</row>
    <row r="95" ht="14.25" customHeight="1">
      <c r="A95" s="26"/>
      <c r="B95" s="26"/>
      <c r="C95" s="26"/>
      <c r="D95" s="26"/>
      <c r="E95" s="3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 ht="14.25" customHeight="1">
      <c r="A96" s="26"/>
      <c r="B96" s="26"/>
      <c r="C96" s="26"/>
      <c r="D96" s="26"/>
      <c r="E96" s="3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 ht="14.25" customHeight="1">
      <c r="A97" s="26"/>
      <c r="B97" s="26"/>
      <c r="C97" s="26"/>
      <c r="D97" s="26"/>
      <c r="E97" s="3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</row>
    <row r="98" ht="14.25" customHeight="1">
      <c r="A98" s="26"/>
      <c r="B98" s="26"/>
      <c r="C98" s="26"/>
      <c r="D98" s="26"/>
      <c r="E98" s="3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</row>
    <row r="99" ht="14.25" customHeight="1">
      <c r="A99" s="26"/>
      <c r="B99" s="26"/>
      <c r="C99" s="26"/>
      <c r="D99" s="26"/>
      <c r="E99" s="3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</row>
    <row r="100" ht="14.25" customHeight="1">
      <c r="A100" s="26"/>
      <c r="B100" s="26"/>
      <c r="C100" s="26"/>
      <c r="D100" s="26"/>
      <c r="E100" s="3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</row>
    <row r="101" ht="14.25" customHeight="1">
      <c r="A101" s="26"/>
      <c r="B101" s="26"/>
      <c r="C101" s="26"/>
      <c r="D101" s="26"/>
      <c r="E101" s="3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 ht="14.25" customHeight="1">
      <c r="A102" s="26"/>
      <c r="B102" s="26"/>
      <c r="C102" s="26"/>
      <c r="D102" s="26"/>
      <c r="E102" s="3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</row>
    <row r="103" ht="14.25" customHeight="1">
      <c r="A103" s="26"/>
      <c r="B103" s="26"/>
      <c r="C103" s="26"/>
      <c r="D103" s="26"/>
      <c r="E103" s="3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</row>
    <row r="104" ht="14.25" customHeight="1">
      <c r="A104" s="26"/>
      <c r="B104" s="26"/>
      <c r="C104" s="26"/>
      <c r="D104" s="26"/>
      <c r="E104" s="3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</row>
    <row r="105" ht="14.25" customHeight="1">
      <c r="A105" s="26"/>
      <c r="B105" s="26"/>
      <c r="C105" s="26"/>
      <c r="D105" s="26"/>
      <c r="E105" s="3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</row>
    <row r="106" ht="14.25" customHeight="1">
      <c r="A106" s="26"/>
      <c r="B106" s="26"/>
      <c r="C106" s="26"/>
      <c r="D106" s="26"/>
      <c r="E106" s="3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</row>
    <row r="109" ht="14.25" customHeight="1">
      <c r="A109" s="109" t="s">
        <v>42</v>
      </c>
      <c r="B109" s="110">
        <f>I110*J109</f>
        <v>2430000</v>
      </c>
      <c r="C109" s="26"/>
      <c r="D109" s="111">
        <v>1.0</v>
      </c>
      <c r="E109" s="112">
        <f t="shared" ref="E109:E110" si="101">E5*2</f>
        <v>0.2</v>
      </c>
      <c r="F109" s="113">
        <f>H109</f>
        <v>1944000</v>
      </c>
      <c r="G109" s="113">
        <v>0.0</v>
      </c>
      <c r="H109" s="113">
        <f>B109-(B109*E109)</f>
        <v>1944000</v>
      </c>
      <c r="I109" s="113">
        <f>H109/J$5</f>
        <v>12000</v>
      </c>
      <c r="J109" s="116">
        <v>162.0</v>
      </c>
      <c r="K109" s="26"/>
      <c r="L109" s="111">
        <f>$D$5</f>
        <v>1</v>
      </c>
      <c r="M109" s="112">
        <f t="shared" ref="M109:M114" si="102">E109+5%</f>
        <v>0.25</v>
      </c>
      <c r="N109" s="113">
        <f>P109</f>
        <v>815250</v>
      </c>
      <c r="O109" s="113">
        <v>0.0</v>
      </c>
      <c r="P109" s="113">
        <f t="shared" ref="P109:P110" si="103">$B$5-($B$5*M109)</f>
        <v>815250</v>
      </c>
      <c r="Q109" s="113">
        <f>P109/R109</f>
        <v>5032.407407</v>
      </c>
      <c r="R109" s="116">
        <f>J109</f>
        <v>162</v>
      </c>
      <c r="S109" s="26"/>
      <c r="T109" s="111">
        <f>$D$5</f>
        <v>1</v>
      </c>
      <c r="U109" s="112">
        <f t="shared" ref="U109:U114" si="104">M109+5%</f>
        <v>0.3</v>
      </c>
      <c r="V109" s="113">
        <f>X109</f>
        <v>760900</v>
      </c>
      <c r="W109" s="113">
        <v>0.0</v>
      </c>
      <c r="X109" s="113">
        <f t="shared" ref="X109:X110" si="105">$B$5-($B$5*U109)</f>
        <v>760900</v>
      </c>
      <c r="Y109" s="113">
        <f>X109/Z109</f>
        <v>4696.91358</v>
      </c>
      <c r="Z109" s="116">
        <f>R109</f>
        <v>162</v>
      </c>
      <c r="AA109" s="26"/>
      <c r="AB109" s="111">
        <f>$D$5</f>
        <v>1</v>
      </c>
      <c r="AC109" s="112">
        <f t="shared" ref="AC109:AC114" si="106">U109+5%</f>
        <v>0.35</v>
      </c>
      <c r="AD109" s="113">
        <f>AF109</f>
        <v>706550</v>
      </c>
      <c r="AE109" s="113">
        <v>0.0</v>
      </c>
      <c r="AF109" s="113">
        <f t="shared" ref="AF109:AF110" si="107">$B$5-($B$5*AC109)</f>
        <v>706550</v>
      </c>
      <c r="AG109" s="113">
        <f>AF109/AH109</f>
        <v>4361.419753</v>
      </c>
      <c r="AH109" s="116">
        <f>Z109</f>
        <v>162</v>
      </c>
    </row>
    <row r="110" ht="14.25" customHeight="1">
      <c r="A110" s="68"/>
      <c r="B110" s="69"/>
      <c r="C110" s="26"/>
      <c r="D110" s="119">
        <v>3.0</v>
      </c>
      <c r="E110" s="120">
        <f t="shared" si="101"/>
        <v>0</v>
      </c>
      <c r="F110" s="121">
        <f>H110/D110</f>
        <v>810000</v>
      </c>
      <c r="G110" s="122">
        <f>(H110-F110)/(D110-1)</f>
        <v>810000</v>
      </c>
      <c r="H110" s="122">
        <f>B109-(B109*E110)</f>
        <v>2430000</v>
      </c>
      <c r="I110" s="258">
        <v>15000.0</v>
      </c>
      <c r="J110" s="123">
        <v>27.0</v>
      </c>
      <c r="K110" s="26"/>
      <c r="L110" s="119">
        <f>$D$6</f>
        <v>3</v>
      </c>
      <c r="M110" s="120">
        <f t="shared" si="102"/>
        <v>0.05</v>
      </c>
      <c r="N110" s="121">
        <f>P110*50%</f>
        <v>516325</v>
      </c>
      <c r="O110" s="122">
        <f>(P110-N110)/(L110-1)</f>
        <v>258162.5</v>
      </c>
      <c r="P110" s="122">
        <f t="shared" si="103"/>
        <v>1032650</v>
      </c>
      <c r="Q110" s="122">
        <f>P110/R109</f>
        <v>6374.382716</v>
      </c>
      <c r="R110" s="123">
        <v>27.0</v>
      </c>
      <c r="S110" s="26"/>
      <c r="T110" s="119">
        <f>$D$6</f>
        <v>3</v>
      </c>
      <c r="U110" s="120">
        <f t="shared" si="104"/>
        <v>0.1</v>
      </c>
      <c r="V110" s="121">
        <f>X110*50%</f>
        <v>489150</v>
      </c>
      <c r="W110" s="122">
        <f>(X110-V110)/(T110-1)</f>
        <v>244575</v>
      </c>
      <c r="X110" s="122">
        <f t="shared" si="105"/>
        <v>978300</v>
      </c>
      <c r="Y110" s="122">
        <f>X110/Z109</f>
        <v>6038.888889</v>
      </c>
      <c r="Z110" s="123">
        <v>27.0</v>
      </c>
      <c r="AA110" s="26"/>
      <c r="AB110" s="119">
        <f>$D$6</f>
        <v>3</v>
      </c>
      <c r="AC110" s="120">
        <f t="shared" si="106"/>
        <v>0.15</v>
      </c>
      <c r="AD110" s="121">
        <f>AF110*50%</f>
        <v>461975</v>
      </c>
      <c r="AE110" s="122">
        <f>(AF110-AD110)/(AB110-1)</f>
        <v>230987.5</v>
      </c>
      <c r="AF110" s="122">
        <f t="shared" si="107"/>
        <v>923950</v>
      </c>
      <c r="AG110" s="122">
        <f>AF110/AH109</f>
        <v>5703.395062</v>
      </c>
      <c r="AH110" s="123">
        <v>27.0</v>
      </c>
    </row>
    <row r="111" ht="14.25" customHeight="1">
      <c r="A111" s="109" t="s">
        <v>47</v>
      </c>
      <c r="B111" s="110">
        <f>I112*J111</f>
        <v>2430000</v>
      </c>
      <c r="C111" s="26"/>
      <c r="D111" s="111">
        <v>1.0</v>
      </c>
      <c r="E111" s="112">
        <f t="shared" ref="E111:E112" si="108">E25*2</f>
        <v>0.2</v>
      </c>
      <c r="F111" s="113">
        <f>H111</f>
        <v>1944000</v>
      </c>
      <c r="G111" s="113">
        <v>0.0</v>
      </c>
      <c r="H111" s="113">
        <f>B111-(B111*E111)</f>
        <v>1944000</v>
      </c>
      <c r="I111" s="115">
        <f>H111/J111</f>
        <v>12000</v>
      </c>
      <c r="J111" s="116">
        <v>162.0</v>
      </c>
      <c r="K111" s="26"/>
      <c r="L111" s="111">
        <f>$D$25</f>
        <v>1</v>
      </c>
      <c r="M111" s="112">
        <f t="shared" si="102"/>
        <v>0.25</v>
      </c>
      <c r="N111" s="113">
        <f>P111</f>
        <v>1032750</v>
      </c>
      <c r="O111" s="113">
        <v>0.0</v>
      </c>
      <c r="P111" s="113">
        <f t="shared" ref="P111:P112" si="109">$B$25-($B$25*M111)</f>
        <v>1032750</v>
      </c>
      <c r="Q111" s="113">
        <f>P111/R111</f>
        <v>6375</v>
      </c>
      <c r="R111" s="116">
        <f>J111</f>
        <v>162</v>
      </c>
      <c r="S111" s="26"/>
      <c r="T111" s="111">
        <f>$D$25</f>
        <v>1</v>
      </c>
      <c r="U111" s="112">
        <f t="shared" si="104"/>
        <v>0.3</v>
      </c>
      <c r="V111" s="113">
        <f>X111</f>
        <v>963900</v>
      </c>
      <c r="W111" s="113">
        <v>0.0</v>
      </c>
      <c r="X111" s="113">
        <f t="shared" ref="X111:X112" si="110">$B$25-($B$25*U111)</f>
        <v>963900</v>
      </c>
      <c r="Y111" s="113">
        <f>X111/Z111</f>
        <v>5950</v>
      </c>
      <c r="Z111" s="116">
        <f>R111</f>
        <v>162</v>
      </c>
      <c r="AA111" s="26"/>
      <c r="AB111" s="111">
        <f>$D$25</f>
        <v>1</v>
      </c>
      <c r="AC111" s="112">
        <f t="shared" si="106"/>
        <v>0.35</v>
      </c>
      <c r="AD111" s="113">
        <f>AF111</f>
        <v>895050</v>
      </c>
      <c r="AE111" s="113">
        <v>0.0</v>
      </c>
      <c r="AF111" s="113">
        <f t="shared" ref="AF111:AF112" si="111">$B$25-($B$25*AC111)</f>
        <v>895050</v>
      </c>
      <c r="AG111" s="113">
        <f>AF111/AH111</f>
        <v>5525</v>
      </c>
      <c r="AH111" s="116">
        <f>Z111</f>
        <v>162</v>
      </c>
    </row>
    <row r="112" ht="14.25" customHeight="1">
      <c r="A112" s="68"/>
      <c r="B112" s="69"/>
      <c r="C112" s="26"/>
      <c r="D112" s="119">
        <v>3.0</v>
      </c>
      <c r="E112" s="120">
        <f t="shared" si="108"/>
        <v>0</v>
      </c>
      <c r="F112" s="121">
        <f>H112/D112</f>
        <v>810000</v>
      </c>
      <c r="G112" s="122">
        <f>(H112-F112)/(D112-1)</f>
        <v>810000</v>
      </c>
      <c r="H112" s="122">
        <f>B111-(B111*E112)</f>
        <v>2430000</v>
      </c>
      <c r="I112" s="258">
        <f>I110</f>
        <v>15000</v>
      </c>
      <c r="J112" s="123">
        <v>27.0</v>
      </c>
      <c r="K112" s="26"/>
      <c r="L112" s="119">
        <f>$D$26</f>
        <v>3</v>
      </c>
      <c r="M112" s="120">
        <f t="shared" si="102"/>
        <v>0.05</v>
      </c>
      <c r="N112" s="121">
        <f>P112*50%</f>
        <v>654075</v>
      </c>
      <c r="O112" s="122">
        <f>(P112-N112)/(L112-1)</f>
        <v>327037.5</v>
      </c>
      <c r="P112" s="122">
        <f t="shared" si="109"/>
        <v>1308150</v>
      </c>
      <c r="Q112" s="122">
        <f>P112/R111</f>
        <v>8075</v>
      </c>
      <c r="R112" s="123">
        <v>27.0</v>
      </c>
      <c r="S112" s="26"/>
      <c r="T112" s="119">
        <f>$D$26</f>
        <v>3</v>
      </c>
      <c r="U112" s="120">
        <f t="shared" si="104"/>
        <v>0.1</v>
      </c>
      <c r="V112" s="121">
        <f>X112*50%</f>
        <v>619650</v>
      </c>
      <c r="W112" s="122">
        <f>(X112-V112)/(T112-1)</f>
        <v>309825</v>
      </c>
      <c r="X112" s="122">
        <f t="shared" si="110"/>
        <v>1239300</v>
      </c>
      <c r="Y112" s="122">
        <f>X112/Z111</f>
        <v>7650</v>
      </c>
      <c r="Z112" s="123">
        <v>27.0</v>
      </c>
      <c r="AA112" s="26"/>
      <c r="AB112" s="119">
        <f>$D$26</f>
        <v>3</v>
      </c>
      <c r="AC112" s="120">
        <f t="shared" si="106"/>
        <v>0.15</v>
      </c>
      <c r="AD112" s="121">
        <f>AF112*50%</f>
        <v>585225</v>
      </c>
      <c r="AE112" s="122">
        <f>(AF112-AD112)/(AB112-1)</f>
        <v>292612.5</v>
      </c>
      <c r="AF112" s="122">
        <f t="shared" si="111"/>
        <v>1170450</v>
      </c>
      <c r="AG112" s="122">
        <f>AF112/AH111</f>
        <v>7225</v>
      </c>
      <c r="AH112" s="123">
        <v>27.0</v>
      </c>
    </row>
    <row r="113" ht="14.25" customHeight="1">
      <c r="A113" s="109" t="s">
        <v>51</v>
      </c>
      <c r="B113" s="110">
        <f>I114*J113</f>
        <v>2670000</v>
      </c>
      <c r="C113" s="26"/>
      <c r="D113" s="111">
        <v>1.0</v>
      </c>
      <c r="E113" s="112">
        <f t="shared" ref="E113:E114" si="112">E43*2</f>
        <v>0.2</v>
      </c>
      <c r="F113" s="113">
        <f>H113</f>
        <v>2136000</v>
      </c>
      <c r="G113" s="113">
        <v>0.0</v>
      </c>
      <c r="H113" s="113">
        <f>B113-(B113*E113)</f>
        <v>2136000</v>
      </c>
      <c r="I113" s="115">
        <f>H113/J113</f>
        <v>12000</v>
      </c>
      <c r="J113" s="116">
        <v>178.0</v>
      </c>
      <c r="K113" s="26"/>
      <c r="L113" s="111">
        <f>$D$43</f>
        <v>1</v>
      </c>
      <c r="M113" s="112">
        <f t="shared" si="102"/>
        <v>0.25</v>
      </c>
      <c r="N113" s="113">
        <f>P113</f>
        <v>1440000</v>
      </c>
      <c r="O113" s="113">
        <v>0.0</v>
      </c>
      <c r="P113" s="113">
        <f t="shared" ref="P113:P114" si="113">$B$43-($B$43*M113)</f>
        <v>1440000</v>
      </c>
      <c r="Q113" s="113">
        <f>P113/R113</f>
        <v>8089.88764</v>
      </c>
      <c r="R113" s="116">
        <f>J113</f>
        <v>178</v>
      </c>
      <c r="S113" s="26"/>
      <c r="T113" s="111">
        <f>$D$43</f>
        <v>1</v>
      </c>
      <c r="U113" s="112">
        <f t="shared" si="104"/>
        <v>0.3</v>
      </c>
      <c r="V113" s="113">
        <f>X113</f>
        <v>1344000</v>
      </c>
      <c r="W113" s="113">
        <v>0.0</v>
      </c>
      <c r="X113" s="113">
        <f t="shared" ref="X113:X114" si="114">$B$43-($B$43*U113)</f>
        <v>1344000</v>
      </c>
      <c r="Y113" s="113">
        <f>X113/Z113</f>
        <v>7550.561798</v>
      </c>
      <c r="Z113" s="116">
        <f>R113</f>
        <v>178</v>
      </c>
      <c r="AA113" s="26"/>
      <c r="AB113" s="111">
        <f>$D$43</f>
        <v>1</v>
      </c>
      <c r="AC113" s="112">
        <f t="shared" si="106"/>
        <v>0.35</v>
      </c>
      <c r="AD113" s="113">
        <f>AF113</f>
        <v>1248000</v>
      </c>
      <c r="AE113" s="113">
        <v>0.0</v>
      </c>
      <c r="AF113" s="113">
        <f t="shared" ref="AF113:AF114" si="115">$B$43-($B$43*AC113)</f>
        <v>1248000</v>
      </c>
      <c r="AG113" s="113">
        <f>AF113/AH113</f>
        <v>7011.235955</v>
      </c>
      <c r="AH113" s="116">
        <f>Z113</f>
        <v>178</v>
      </c>
    </row>
    <row r="114" ht="14.25" customHeight="1">
      <c r="A114" s="68"/>
      <c r="B114" s="69"/>
      <c r="C114" s="26"/>
      <c r="D114" s="119">
        <v>3.0</v>
      </c>
      <c r="E114" s="120">
        <f t="shared" si="112"/>
        <v>0</v>
      </c>
      <c r="F114" s="121">
        <f>H114/D114</f>
        <v>890000</v>
      </c>
      <c r="G114" s="122">
        <f>(H114-F114)/(D114-1)</f>
        <v>890000</v>
      </c>
      <c r="H114" s="122">
        <f>B113-(B113*E114)</f>
        <v>2670000</v>
      </c>
      <c r="I114" s="122">
        <f>I110</f>
        <v>15000</v>
      </c>
      <c r="J114" s="202">
        <f>J113/D114</f>
        <v>59.33333333</v>
      </c>
      <c r="K114" s="26"/>
      <c r="L114" s="119">
        <f>$D$44</f>
        <v>3</v>
      </c>
      <c r="M114" s="120">
        <f t="shared" si="102"/>
        <v>0.05</v>
      </c>
      <c r="N114" s="121">
        <f>P114*50%</f>
        <v>912000</v>
      </c>
      <c r="O114" s="122">
        <f>(P114-N114)/(L114-1)</f>
        <v>456000</v>
      </c>
      <c r="P114" s="122">
        <f t="shared" si="113"/>
        <v>1824000</v>
      </c>
      <c r="Q114" s="122">
        <f>P114/R113</f>
        <v>10247.19101</v>
      </c>
      <c r="R114" s="202">
        <v>27.0</v>
      </c>
      <c r="S114" s="26"/>
      <c r="T114" s="119">
        <f>$D$44</f>
        <v>3</v>
      </c>
      <c r="U114" s="120">
        <f t="shared" si="104"/>
        <v>0.1</v>
      </c>
      <c r="V114" s="121">
        <f>X114*50%</f>
        <v>864000</v>
      </c>
      <c r="W114" s="122">
        <f>(X114-V114)/(T114-1)</f>
        <v>432000</v>
      </c>
      <c r="X114" s="122">
        <f t="shared" si="114"/>
        <v>1728000</v>
      </c>
      <c r="Y114" s="122">
        <f>X114/Z113</f>
        <v>9707.865169</v>
      </c>
      <c r="Z114" s="202">
        <v>27.0</v>
      </c>
      <c r="AA114" s="26"/>
      <c r="AB114" s="119">
        <f>$D$44</f>
        <v>3</v>
      </c>
      <c r="AC114" s="120">
        <f t="shared" si="106"/>
        <v>0.15</v>
      </c>
      <c r="AD114" s="121">
        <f>AF114*50%</f>
        <v>816000</v>
      </c>
      <c r="AE114" s="122">
        <f>(AF114-AD114)/(AB114-1)</f>
        <v>408000</v>
      </c>
      <c r="AF114" s="122">
        <f t="shared" si="115"/>
        <v>1632000</v>
      </c>
      <c r="AG114" s="122">
        <f>AF114/AH113</f>
        <v>9168.539326</v>
      </c>
      <c r="AH114" s="202">
        <v>27.0</v>
      </c>
    </row>
    <row r="115" ht="14.25" customHeight="1">
      <c r="A115" s="26"/>
      <c r="B115" s="26"/>
      <c r="C115" s="26"/>
      <c r="D115" s="26"/>
      <c r="E115" s="3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</row>
    <row r="116" ht="14.25" customHeight="1">
      <c r="A116" s="26"/>
      <c r="B116" s="26"/>
      <c r="C116" s="26"/>
      <c r="D116" s="26"/>
      <c r="E116" s="3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 ht="14.25" customHeight="1">
      <c r="A117" s="26"/>
      <c r="B117" s="26"/>
      <c r="C117" s="26"/>
      <c r="D117" s="26"/>
      <c r="E117" s="3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</row>
    <row r="118" ht="14.25" customHeight="1">
      <c r="A118" s="26"/>
      <c r="B118" s="26"/>
      <c r="C118" s="26"/>
      <c r="D118" s="26"/>
      <c r="E118" s="3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</row>
    <row r="121" ht="14.25" customHeight="1">
      <c r="A121" s="138" t="s">
        <v>42</v>
      </c>
      <c r="B121" s="139">
        <f>I122*J121</f>
        <v>2430000</v>
      </c>
      <c r="C121" s="26"/>
      <c r="D121" s="140">
        <v>1.0</v>
      </c>
      <c r="E121" s="141">
        <f t="shared" ref="E121:E126" si="116">E109*2</f>
        <v>0.4</v>
      </c>
      <c r="F121" s="142">
        <f>H121</f>
        <v>1458000</v>
      </c>
      <c r="G121" s="142">
        <v>0.0</v>
      </c>
      <c r="H121" s="142">
        <f>B121-(B121*E121)</f>
        <v>1458000</v>
      </c>
      <c r="I121" s="142">
        <f>H121/J$5</f>
        <v>9000</v>
      </c>
      <c r="J121" s="144">
        <v>162.0</v>
      </c>
      <c r="K121" s="26"/>
      <c r="L121" s="140">
        <f>$D$5</f>
        <v>1</v>
      </c>
      <c r="M121" s="141">
        <f t="shared" ref="M121:M128" si="117">E121+5%</f>
        <v>0.45</v>
      </c>
      <c r="N121" s="142">
        <f>P121</f>
        <v>597850</v>
      </c>
      <c r="O121" s="142">
        <v>0.0</v>
      </c>
      <c r="P121" s="142">
        <f t="shared" ref="P121:P122" si="118">$B$5-($B$5*M121)</f>
        <v>597850</v>
      </c>
      <c r="Q121" s="142">
        <f>P121/R121</f>
        <v>3690.432099</v>
      </c>
      <c r="R121" s="144">
        <f>J121</f>
        <v>162</v>
      </c>
      <c r="S121" s="26"/>
      <c r="T121" s="140">
        <f>$D$5</f>
        <v>1</v>
      </c>
      <c r="U121" s="141">
        <f t="shared" ref="U121:U128" si="119">M121+5%</f>
        <v>0.5</v>
      </c>
      <c r="V121" s="142">
        <f>X121</f>
        <v>543500</v>
      </c>
      <c r="W121" s="142">
        <v>0.0</v>
      </c>
      <c r="X121" s="142">
        <f t="shared" ref="X121:X122" si="120">$B$5-($B$5*U121)</f>
        <v>543500</v>
      </c>
      <c r="Y121" s="142">
        <f>X121/Z121</f>
        <v>3354.938272</v>
      </c>
      <c r="Z121" s="144">
        <f>R121</f>
        <v>162</v>
      </c>
      <c r="AA121" s="26"/>
      <c r="AB121" s="140">
        <f>$D$5</f>
        <v>1</v>
      </c>
      <c r="AC121" s="141">
        <f t="shared" ref="AC121:AC128" si="121">U121+5%</f>
        <v>0.55</v>
      </c>
      <c r="AD121" s="142">
        <f>AF121</f>
        <v>489150</v>
      </c>
      <c r="AE121" s="142">
        <v>0.0</v>
      </c>
      <c r="AF121" s="142">
        <f t="shared" ref="AF121:AF122" si="122">$B$5-($B$5*AC121)</f>
        <v>489150</v>
      </c>
      <c r="AG121" s="142">
        <f>AF121/AH121</f>
        <v>3019.444444</v>
      </c>
      <c r="AH121" s="144">
        <f>Z121</f>
        <v>162</v>
      </c>
    </row>
    <row r="122" ht="14.25" customHeight="1">
      <c r="A122" s="68"/>
      <c r="B122" s="69"/>
      <c r="C122" s="26"/>
      <c r="D122" s="148">
        <v>3.0</v>
      </c>
      <c r="E122" s="149">
        <f t="shared" si="116"/>
        <v>0</v>
      </c>
      <c r="F122" s="150">
        <f>H122/D122</f>
        <v>810000</v>
      </c>
      <c r="G122" s="151">
        <f>(H122-F122)/(D122-1)</f>
        <v>810000</v>
      </c>
      <c r="H122" s="151">
        <f>B121-(B121*E122)</f>
        <v>2430000</v>
      </c>
      <c r="I122" s="266">
        <v>15000.0</v>
      </c>
      <c r="J122" s="267">
        <v>27.0</v>
      </c>
      <c r="K122" s="26"/>
      <c r="L122" s="148">
        <f>$D$6</f>
        <v>3</v>
      </c>
      <c r="M122" s="149">
        <f t="shared" si="117"/>
        <v>0.05</v>
      </c>
      <c r="N122" s="150">
        <f>P122*50%</f>
        <v>516325</v>
      </c>
      <c r="O122" s="151">
        <f>(P122-N122)/(L122-1)</f>
        <v>258162.5</v>
      </c>
      <c r="P122" s="151">
        <f t="shared" si="118"/>
        <v>1032650</v>
      </c>
      <c r="Q122" s="151">
        <f>P122/R121</f>
        <v>6374.382716</v>
      </c>
      <c r="R122" s="267">
        <v>27.0</v>
      </c>
      <c r="S122" s="26"/>
      <c r="T122" s="148">
        <f>$D$6</f>
        <v>3</v>
      </c>
      <c r="U122" s="149">
        <f t="shared" si="119"/>
        <v>0.1</v>
      </c>
      <c r="V122" s="150">
        <f>X122*50%</f>
        <v>489150</v>
      </c>
      <c r="W122" s="151">
        <f>(X122-V122)/(T122-1)</f>
        <v>244575</v>
      </c>
      <c r="X122" s="151">
        <f t="shared" si="120"/>
        <v>978300</v>
      </c>
      <c r="Y122" s="151">
        <f>X122/Z121</f>
        <v>6038.888889</v>
      </c>
      <c r="Z122" s="267">
        <v>27.0</v>
      </c>
      <c r="AA122" s="26"/>
      <c r="AB122" s="148">
        <f>$D$6</f>
        <v>3</v>
      </c>
      <c r="AC122" s="149">
        <f t="shared" si="121"/>
        <v>0.15</v>
      </c>
      <c r="AD122" s="150">
        <f>AF122*50%</f>
        <v>461975</v>
      </c>
      <c r="AE122" s="151">
        <f>(AF122-AD122)/(AB122-1)</f>
        <v>230987.5</v>
      </c>
      <c r="AF122" s="151">
        <f t="shared" si="122"/>
        <v>923950</v>
      </c>
      <c r="AG122" s="151">
        <f>AF122/AH121</f>
        <v>5703.395062</v>
      </c>
      <c r="AH122" s="267">
        <v>27.0</v>
      </c>
    </row>
    <row r="123" ht="14.25" customHeight="1">
      <c r="A123" s="138" t="s">
        <v>47</v>
      </c>
      <c r="B123" s="139">
        <f>I124*J123</f>
        <v>2430000</v>
      </c>
      <c r="C123" s="26"/>
      <c r="D123" s="140">
        <v>1.0</v>
      </c>
      <c r="E123" s="141">
        <f t="shared" si="116"/>
        <v>0.4</v>
      </c>
      <c r="F123" s="142">
        <f>H123</f>
        <v>1458000</v>
      </c>
      <c r="G123" s="142">
        <v>0.0</v>
      </c>
      <c r="H123" s="142">
        <f>B123-(B123*E123)</f>
        <v>1458000</v>
      </c>
      <c r="I123" s="143">
        <f>H123/J123</f>
        <v>9000</v>
      </c>
      <c r="J123" s="144">
        <v>162.0</v>
      </c>
      <c r="K123" s="26"/>
      <c r="L123" s="140">
        <f>$D$25</f>
        <v>1</v>
      </c>
      <c r="M123" s="141">
        <f t="shared" si="117"/>
        <v>0.45</v>
      </c>
      <c r="N123" s="142">
        <f>P123</f>
        <v>757350</v>
      </c>
      <c r="O123" s="142">
        <v>0.0</v>
      </c>
      <c r="P123" s="142">
        <f t="shared" ref="P123:P124" si="123">$B$25-($B$25*M123)</f>
        <v>757350</v>
      </c>
      <c r="Q123" s="142">
        <f>P123/R123</f>
        <v>4675</v>
      </c>
      <c r="R123" s="144">
        <f>J123</f>
        <v>162</v>
      </c>
      <c r="S123" s="26"/>
      <c r="T123" s="140">
        <f>$D$25</f>
        <v>1</v>
      </c>
      <c r="U123" s="141">
        <f t="shared" si="119"/>
        <v>0.5</v>
      </c>
      <c r="V123" s="142">
        <f>X123</f>
        <v>688500</v>
      </c>
      <c r="W123" s="142">
        <v>0.0</v>
      </c>
      <c r="X123" s="142">
        <f t="shared" ref="X123:X124" si="124">$B$25-($B$25*U123)</f>
        <v>688500</v>
      </c>
      <c r="Y123" s="142">
        <f>X123/Z123</f>
        <v>4250</v>
      </c>
      <c r="Z123" s="144">
        <f>R123</f>
        <v>162</v>
      </c>
      <c r="AA123" s="26"/>
      <c r="AB123" s="140">
        <f>$D$25</f>
        <v>1</v>
      </c>
      <c r="AC123" s="141">
        <f t="shared" si="121"/>
        <v>0.55</v>
      </c>
      <c r="AD123" s="142">
        <f>AF123</f>
        <v>619650</v>
      </c>
      <c r="AE123" s="142">
        <v>0.0</v>
      </c>
      <c r="AF123" s="142">
        <f t="shared" ref="AF123:AF124" si="125">$B$25-($B$25*AC123)</f>
        <v>619650</v>
      </c>
      <c r="AG123" s="142">
        <f>AF123/AH123</f>
        <v>3825</v>
      </c>
      <c r="AH123" s="144">
        <f>Z123</f>
        <v>162</v>
      </c>
    </row>
    <row r="124" ht="14.25" customHeight="1">
      <c r="A124" s="68"/>
      <c r="B124" s="69"/>
      <c r="C124" s="26"/>
      <c r="D124" s="148">
        <v>3.0</v>
      </c>
      <c r="E124" s="149">
        <f t="shared" si="116"/>
        <v>0</v>
      </c>
      <c r="F124" s="150">
        <f>H124/D124</f>
        <v>810000</v>
      </c>
      <c r="G124" s="151">
        <f>(H124-F124)/(D124-1)</f>
        <v>810000</v>
      </c>
      <c r="H124" s="151">
        <f>B123-(B123*E124)</f>
        <v>2430000</v>
      </c>
      <c r="I124" s="266">
        <f>I122</f>
        <v>15000</v>
      </c>
      <c r="J124" s="267">
        <v>27.0</v>
      </c>
      <c r="K124" s="26"/>
      <c r="L124" s="148">
        <f>$D$26</f>
        <v>3</v>
      </c>
      <c r="M124" s="149">
        <f t="shared" si="117"/>
        <v>0.05</v>
      </c>
      <c r="N124" s="150">
        <f>P124*50%</f>
        <v>654075</v>
      </c>
      <c r="O124" s="151">
        <f>(P124-N124)/(L124-1)</f>
        <v>327037.5</v>
      </c>
      <c r="P124" s="151">
        <f t="shared" si="123"/>
        <v>1308150</v>
      </c>
      <c r="Q124" s="151">
        <f>P124/R123</f>
        <v>8075</v>
      </c>
      <c r="R124" s="267">
        <v>27.0</v>
      </c>
      <c r="S124" s="26"/>
      <c r="T124" s="148">
        <f>$D$26</f>
        <v>3</v>
      </c>
      <c r="U124" s="149">
        <f t="shared" si="119"/>
        <v>0.1</v>
      </c>
      <c r="V124" s="150">
        <f>X124*50%</f>
        <v>619650</v>
      </c>
      <c r="W124" s="151">
        <f>(X124-V124)/(T124-1)</f>
        <v>309825</v>
      </c>
      <c r="X124" s="151">
        <f t="shared" si="124"/>
        <v>1239300</v>
      </c>
      <c r="Y124" s="151">
        <f>X124/Z123</f>
        <v>7650</v>
      </c>
      <c r="Z124" s="267">
        <v>27.0</v>
      </c>
      <c r="AA124" s="26"/>
      <c r="AB124" s="148">
        <f>$D$26</f>
        <v>3</v>
      </c>
      <c r="AC124" s="149">
        <f t="shared" si="121"/>
        <v>0.15</v>
      </c>
      <c r="AD124" s="150">
        <f>AF124*50%</f>
        <v>585225</v>
      </c>
      <c r="AE124" s="151">
        <f>(AF124-AD124)/(AB124-1)</f>
        <v>292612.5</v>
      </c>
      <c r="AF124" s="151">
        <f t="shared" si="125"/>
        <v>1170450</v>
      </c>
      <c r="AG124" s="151">
        <f>AF124/AH123</f>
        <v>7225</v>
      </c>
      <c r="AH124" s="267">
        <v>27.0</v>
      </c>
    </row>
    <row r="125" ht="14.25" customHeight="1">
      <c r="A125" s="138" t="s">
        <v>51</v>
      </c>
      <c r="B125" s="139">
        <f>I126*J125</f>
        <v>2670000</v>
      </c>
      <c r="C125" s="26"/>
      <c r="D125" s="140">
        <v>1.0</v>
      </c>
      <c r="E125" s="141">
        <f t="shared" si="116"/>
        <v>0.4</v>
      </c>
      <c r="F125" s="142">
        <f>H125</f>
        <v>1602000</v>
      </c>
      <c r="G125" s="142">
        <v>0.0</v>
      </c>
      <c r="H125" s="142">
        <f>B125-(B125*E125)</f>
        <v>1602000</v>
      </c>
      <c r="I125" s="143">
        <f>H125/J125</f>
        <v>9000</v>
      </c>
      <c r="J125" s="144">
        <v>178.0</v>
      </c>
      <c r="K125" s="26"/>
      <c r="L125" s="140">
        <f>$D$43</f>
        <v>1</v>
      </c>
      <c r="M125" s="141">
        <f t="shared" si="117"/>
        <v>0.45</v>
      </c>
      <c r="N125" s="142">
        <f>P125</f>
        <v>1056000</v>
      </c>
      <c r="O125" s="142">
        <v>0.0</v>
      </c>
      <c r="P125" s="142">
        <f t="shared" ref="P125:P126" si="126">$B$43-($B$43*M125)</f>
        <v>1056000</v>
      </c>
      <c r="Q125" s="142">
        <f>P125/R125</f>
        <v>5932.58427</v>
      </c>
      <c r="R125" s="144">
        <f>J125</f>
        <v>178</v>
      </c>
      <c r="S125" s="26"/>
      <c r="T125" s="140">
        <f>$D$43</f>
        <v>1</v>
      </c>
      <c r="U125" s="141">
        <f t="shared" si="119"/>
        <v>0.5</v>
      </c>
      <c r="V125" s="142">
        <f>X125</f>
        <v>960000</v>
      </c>
      <c r="W125" s="142">
        <v>0.0</v>
      </c>
      <c r="X125" s="142">
        <f t="shared" ref="X125:X126" si="127">$B$43-($B$43*U125)</f>
        <v>960000</v>
      </c>
      <c r="Y125" s="142">
        <f>X125/Z125</f>
        <v>5393.258427</v>
      </c>
      <c r="Z125" s="144">
        <f>R125</f>
        <v>178</v>
      </c>
      <c r="AA125" s="26"/>
      <c r="AB125" s="140">
        <f>$D$43</f>
        <v>1</v>
      </c>
      <c r="AC125" s="141">
        <f t="shared" si="121"/>
        <v>0.55</v>
      </c>
      <c r="AD125" s="142">
        <f>AF125</f>
        <v>864000</v>
      </c>
      <c r="AE125" s="142">
        <v>0.0</v>
      </c>
      <c r="AF125" s="142">
        <f t="shared" ref="AF125:AF126" si="128">$B$43-($B$43*AC125)</f>
        <v>864000</v>
      </c>
      <c r="AG125" s="142">
        <f>AF125/AH125</f>
        <v>4853.932584</v>
      </c>
      <c r="AH125" s="144">
        <f>Z125</f>
        <v>178</v>
      </c>
    </row>
    <row r="126" ht="14.25" customHeight="1">
      <c r="A126" s="68"/>
      <c r="B126" s="69"/>
      <c r="C126" s="26"/>
      <c r="D126" s="148">
        <v>3.0</v>
      </c>
      <c r="E126" s="149">
        <f t="shared" si="116"/>
        <v>0</v>
      </c>
      <c r="F126" s="150">
        <f>H126/D126</f>
        <v>890000</v>
      </c>
      <c r="G126" s="151">
        <f>(H126-F126)/(D126-1)</f>
        <v>890000</v>
      </c>
      <c r="H126" s="151">
        <f>B125-(B125*E126)</f>
        <v>2670000</v>
      </c>
      <c r="I126" s="151">
        <f>I122</f>
        <v>15000</v>
      </c>
      <c r="J126" s="153">
        <f>J125/D126</f>
        <v>59.33333333</v>
      </c>
      <c r="K126" s="26"/>
      <c r="L126" s="148">
        <f>$D$44</f>
        <v>3</v>
      </c>
      <c r="M126" s="149">
        <f t="shared" si="117"/>
        <v>0.05</v>
      </c>
      <c r="N126" s="150">
        <f>P126*50%</f>
        <v>912000</v>
      </c>
      <c r="O126" s="151">
        <f>(P126-N126)/(L126-1)</f>
        <v>456000</v>
      </c>
      <c r="P126" s="151">
        <f t="shared" si="126"/>
        <v>1824000</v>
      </c>
      <c r="Q126" s="151">
        <f>P126/R125</f>
        <v>10247.19101</v>
      </c>
      <c r="R126" s="153">
        <v>27.0</v>
      </c>
      <c r="S126" s="26"/>
      <c r="T126" s="148">
        <f>$D$44</f>
        <v>3</v>
      </c>
      <c r="U126" s="149">
        <f t="shared" si="119"/>
        <v>0.1</v>
      </c>
      <c r="V126" s="150">
        <f>X126*50%</f>
        <v>864000</v>
      </c>
      <c r="W126" s="151">
        <f>(X126-V126)/(T126-1)</f>
        <v>432000</v>
      </c>
      <c r="X126" s="151">
        <f t="shared" si="127"/>
        <v>1728000</v>
      </c>
      <c r="Y126" s="151">
        <f>X126/Z125</f>
        <v>9707.865169</v>
      </c>
      <c r="Z126" s="153">
        <v>27.0</v>
      </c>
      <c r="AA126" s="26"/>
      <c r="AB126" s="148">
        <f>$D$44</f>
        <v>3</v>
      </c>
      <c r="AC126" s="149">
        <f t="shared" si="121"/>
        <v>0.15</v>
      </c>
      <c r="AD126" s="150">
        <f>AF126*50%</f>
        <v>816000</v>
      </c>
      <c r="AE126" s="151">
        <f>(AF126-AD126)/(AB126-1)</f>
        <v>408000</v>
      </c>
      <c r="AF126" s="151">
        <f t="shared" si="128"/>
        <v>1632000</v>
      </c>
      <c r="AG126" s="151">
        <f>AF126/AH125</f>
        <v>9168.539326</v>
      </c>
      <c r="AH126" s="153">
        <v>27.0</v>
      </c>
    </row>
    <row r="127" ht="14.25" customHeight="1">
      <c r="A127" s="138" t="s">
        <v>71</v>
      </c>
      <c r="B127" s="139">
        <f>I128*J127</f>
        <v>3030000</v>
      </c>
      <c r="C127" s="26"/>
      <c r="D127" s="140">
        <v>1.0</v>
      </c>
      <c r="E127" s="141">
        <f t="shared" ref="E127:E128" si="129">E46*2</f>
        <v>0.5</v>
      </c>
      <c r="F127" s="142">
        <f>H127</f>
        <v>1515000</v>
      </c>
      <c r="G127" s="142">
        <v>0.0</v>
      </c>
      <c r="H127" s="142">
        <f>B127-(B127*E127)</f>
        <v>1515000</v>
      </c>
      <c r="I127" s="143">
        <f>H127/J127</f>
        <v>7500</v>
      </c>
      <c r="J127" s="144">
        <v>202.0</v>
      </c>
      <c r="K127" s="26"/>
      <c r="L127" s="140">
        <f>$D$58</f>
        <v>1</v>
      </c>
      <c r="M127" s="141">
        <f t="shared" si="117"/>
        <v>0.55</v>
      </c>
      <c r="N127" s="142">
        <f>P127</f>
        <v>864000</v>
      </c>
      <c r="O127" s="142">
        <v>0.0</v>
      </c>
      <c r="P127" s="142">
        <f t="shared" ref="P127:P128" si="130">$B$58-($B$58*M127)</f>
        <v>864000</v>
      </c>
      <c r="Q127" s="142">
        <f>P127/R127</f>
        <v>4277.227723</v>
      </c>
      <c r="R127" s="144">
        <f>J127</f>
        <v>202</v>
      </c>
      <c r="S127" s="26"/>
      <c r="T127" s="140">
        <f>$D$58</f>
        <v>1</v>
      </c>
      <c r="U127" s="141">
        <f t="shared" si="119"/>
        <v>0.6</v>
      </c>
      <c r="V127" s="142">
        <f>X127</f>
        <v>768000</v>
      </c>
      <c r="W127" s="142">
        <v>0.0</v>
      </c>
      <c r="X127" s="142">
        <f t="shared" ref="X127:X128" si="131">$B$58-($B$58*U127)</f>
        <v>768000</v>
      </c>
      <c r="Y127" s="142">
        <f>X127/Z127</f>
        <v>3801.980198</v>
      </c>
      <c r="Z127" s="144">
        <f>R127</f>
        <v>202</v>
      </c>
      <c r="AA127" s="26"/>
      <c r="AB127" s="140">
        <f>$D$58</f>
        <v>1</v>
      </c>
      <c r="AC127" s="141">
        <f t="shared" si="121"/>
        <v>0.65</v>
      </c>
      <c r="AD127" s="142">
        <f>AF127</f>
        <v>672000</v>
      </c>
      <c r="AE127" s="142">
        <v>0.0</v>
      </c>
      <c r="AF127" s="142">
        <f t="shared" ref="AF127:AF128" si="132">$B$58-($B$58*AC127)</f>
        <v>672000</v>
      </c>
      <c r="AG127" s="142">
        <f>AF127/AH127</f>
        <v>3326.732673</v>
      </c>
      <c r="AH127" s="144">
        <f>Z127</f>
        <v>202</v>
      </c>
    </row>
    <row r="128" ht="14.25" customHeight="1">
      <c r="A128" s="68"/>
      <c r="B128" s="69"/>
      <c r="C128" s="26"/>
      <c r="D128" s="148">
        <v>3.0</v>
      </c>
      <c r="E128" s="149">
        <f t="shared" si="129"/>
        <v>0.25</v>
      </c>
      <c r="F128" s="150">
        <f>H128/D128</f>
        <v>757500</v>
      </c>
      <c r="G128" s="151">
        <f>(H128-F128)/(D128-1)</f>
        <v>757500</v>
      </c>
      <c r="H128" s="151">
        <f>B127-(B127*E128)</f>
        <v>2272500</v>
      </c>
      <c r="I128" s="151">
        <f>I122</f>
        <v>15000</v>
      </c>
      <c r="J128" s="153">
        <f>J127/D128</f>
        <v>67.33333333</v>
      </c>
      <c r="K128" s="26"/>
      <c r="L128" s="148">
        <f>$D$59</f>
        <v>3</v>
      </c>
      <c r="M128" s="149">
        <f t="shared" si="117"/>
        <v>0.3</v>
      </c>
      <c r="N128" s="150">
        <f>P128*50%</f>
        <v>672000</v>
      </c>
      <c r="O128" s="151">
        <f>(P128-N128)/(L128-1)</f>
        <v>336000</v>
      </c>
      <c r="P128" s="151">
        <f t="shared" si="130"/>
        <v>1344000</v>
      </c>
      <c r="Q128" s="151">
        <f>P128/R127</f>
        <v>6653.465347</v>
      </c>
      <c r="R128" s="153">
        <v>27.0</v>
      </c>
      <c r="S128" s="26"/>
      <c r="T128" s="148">
        <f>$D$59</f>
        <v>3</v>
      </c>
      <c r="U128" s="149">
        <f t="shared" si="119"/>
        <v>0.35</v>
      </c>
      <c r="V128" s="150">
        <f>X128*50%</f>
        <v>624000</v>
      </c>
      <c r="W128" s="151">
        <f>(X128-V128)/(T128-1)</f>
        <v>312000</v>
      </c>
      <c r="X128" s="151">
        <f t="shared" si="131"/>
        <v>1248000</v>
      </c>
      <c r="Y128" s="151">
        <f>X128/Z127</f>
        <v>6178.217822</v>
      </c>
      <c r="Z128" s="153">
        <v>27.0</v>
      </c>
      <c r="AA128" s="26"/>
      <c r="AB128" s="148">
        <f>$D$59</f>
        <v>3</v>
      </c>
      <c r="AC128" s="149">
        <f t="shared" si="121"/>
        <v>0.4</v>
      </c>
      <c r="AD128" s="150">
        <f>AF128*50%</f>
        <v>576000</v>
      </c>
      <c r="AE128" s="151">
        <f>(AF128-AD128)/(AB128-1)</f>
        <v>288000</v>
      </c>
      <c r="AF128" s="151">
        <f t="shared" si="132"/>
        <v>1152000</v>
      </c>
      <c r="AG128" s="151">
        <f>AF128/AH127</f>
        <v>5702.970297</v>
      </c>
      <c r="AH128" s="153">
        <v>27.0</v>
      </c>
    </row>
    <row r="129" ht="14.25" customHeight="1">
      <c r="A129" s="26"/>
      <c r="B129" s="26"/>
      <c r="C129" s="26"/>
      <c r="D129" s="26"/>
      <c r="E129" s="3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</row>
    <row r="130" ht="14.25" customHeight="1">
      <c r="A130" s="26"/>
      <c r="B130" s="26"/>
      <c r="C130" s="26"/>
      <c r="D130" s="26"/>
      <c r="E130" s="3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</row>
    <row r="133" ht="14.25" customHeight="1">
      <c r="A133" s="154" t="s">
        <v>42</v>
      </c>
      <c r="B133" s="155">
        <f>I134*J133</f>
        <v>2430000</v>
      </c>
      <c r="C133" s="26"/>
      <c r="D133" s="156">
        <v>1.0</v>
      </c>
      <c r="E133" s="157">
        <f t="shared" ref="E133:E140" si="133">E121+20%</f>
        <v>0.6</v>
      </c>
      <c r="F133" s="158">
        <f>H133</f>
        <v>972000</v>
      </c>
      <c r="G133" s="158">
        <v>0.0</v>
      </c>
      <c r="H133" s="158">
        <f>B133-(B133*E133)</f>
        <v>972000</v>
      </c>
      <c r="I133" s="158">
        <f>H133/J$5</f>
        <v>6000</v>
      </c>
      <c r="J133" s="160">
        <v>162.0</v>
      </c>
      <c r="K133" s="26"/>
      <c r="L133" s="156">
        <f>$D$5</f>
        <v>1</v>
      </c>
      <c r="M133" s="157">
        <f t="shared" ref="M133:M142" si="134">E133+5%</f>
        <v>0.65</v>
      </c>
      <c r="N133" s="158">
        <f>P133</f>
        <v>380450</v>
      </c>
      <c r="O133" s="158">
        <v>0.0</v>
      </c>
      <c r="P133" s="158">
        <f t="shared" ref="P133:P134" si="135">$B$5-($B$5*M133)</f>
        <v>380450</v>
      </c>
      <c r="Q133" s="158">
        <f>P133/R133</f>
        <v>2348.45679</v>
      </c>
      <c r="R133" s="160">
        <f>J133</f>
        <v>162</v>
      </c>
      <c r="S133" s="26"/>
      <c r="T133" s="156">
        <f>$D$5</f>
        <v>1</v>
      </c>
      <c r="U133" s="157">
        <f t="shared" ref="U133:U142" si="136">M133+5%</f>
        <v>0.7</v>
      </c>
      <c r="V133" s="158">
        <f>X133</f>
        <v>326100</v>
      </c>
      <c r="W133" s="158">
        <v>0.0</v>
      </c>
      <c r="X133" s="158">
        <f t="shared" ref="X133:X134" si="137">$B$5-($B$5*U133)</f>
        <v>326100</v>
      </c>
      <c r="Y133" s="158">
        <f>X133/Z133</f>
        <v>2012.962963</v>
      </c>
      <c r="Z133" s="160">
        <f>R133</f>
        <v>162</v>
      </c>
      <c r="AA133" s="26"/>
      <c r="AB133" s="156">
        <f>$D$5</f>
        <v>1</v>
      </c>
      <c r="AC133" s="157">
        <f t="shared" ref="AC133:AC142" si="138">U133+5%</f>
        <v>0.75</v>
      </c>
      <c r="AD133" s="158">
        <f>AF133</f>
        <v>271750</v>
      </c>
      <c r="AE133" s="158">
        <v>0.0</v>
      </c>
      <c r="AF133" s="158">
        <f t="shared" ref="AF133:AF134" si="139">$B$5-($B$5*AC133)</f>
        <v>271750</v>
      </c>
      <c r="AG133" s="158">
        <f>AF133/AH133</f>
        <v>1677.469136</v>
      </c>
      <c r="AH133" s="160">
        <f>Z133</f>
        <v>162</v>
      </c>
    </row>
    <row r="134" ht="14.25" customHeight="1">
      <c r="A134" s="68"/>
      <c r="B134" s="69"/>
      <c r="C134" s="26"/>
      <c r="D134" s="161">
        <v>3.0</v>
      </c>
      <c r="E134" s="162">
        <f t="shared" si="133"/>
        <v>0.2</v>
      </c>
      <c r="F134" s="163">
        <f>H134/D134</f>
        <v>648000</v>
      </c>
      <c r="G134" s="164">
        <f>(H134-F134)/(D134-1)</f>
        <v>648000</v>
      </c>
      <c r="H134" s="164">
        <f>B133-(B133*E134)</f>
        <v>1944000</v>
      </c>
      <c r="I134" s="273">
        <v>15000.0</v>
      </c>
      <c r="J134" s="274">
        <v>27.0</v>
      </c>
      <c r="K134" s="26"/>
      <c r="L134" s="161">
        <f>$D$6</f>
        <v>3</v>
      </c>
      <c r="M134" s="162">
        <f t="shared" si="134"/>
        <v>0.25</v>
      </c>
      <c r="N134" s="163">
        <f>P134*50%</f>
        <v>407625</v>
      </c>
      <c r="O134" s="164">
        <f>(P134-N134)/(L134-1)</f>
        <v>203812.5</v>
      </c>
      <c r="P134" s="164">
        <f t="shared" si="135"/>
        <v>815250</v>
      </c>
      <c r="Q134" s="273">
        <f>P134/R133</f>
        <v>5032.407407</v>
      </c>
      <c r="R134" s="274">
        <v>27.0</v>
      </c>
      <c r="S134" s="26"/>
      <c r="T134" s="161">
        <f>$D$6</f>
        <v>3</v>
      </c>
      <c r="U134" s="162">
        <f t="shared" si="136"/>
        <v>0.3</v>
      </c>
      <c r="V134" s="163">
        <f>X134*50%</f>
        <v>380450</v>
      </c>
      <c r="W134" s="164">
        <f>(X134-V134)/(T134-1)</f>
        <v>190225</v>
      </c>
      <c r="X134" s="164">
        <f t="shared" si="137"/>
        <v>760900</v>
      </c>
      <c r="Y134" s="273">
        <f>X134/Z133</f>
        <v>4696.91358</v>
      </c>
      <c r="Z134" s="274">
        <v>27.0</v>
      </c>
      <c r="AA134" s="26"/>
      <c r="AB134" s="161">
        <f>$D$6</f>
        <v>3</v>
      </c>
      <c r="AC134" s="162">
        <f t="shared" si="138"/>
        <v>0.35</v>
      </c>
      <c r="AD134" s="163">
        <f>AF134*50%</f>
        <v>353275</v>
      </c>
      <c r="AE134" s="164">
        <f>(AF134-AD134)/(AB134-1)</f>
        <v>176637.5</v>
      </c>
      <c r="AF134" s="164">
        <f t="shared" si="139"/>
        <v>706550</v>
      </c>
      <c r="AG134" s="273">
        <f>AF134/AH133</f>
        <v>4361.419753</v>
      </c>
      <c r="AH134" s="274">
        <v>27.0</v>
      </c>
    </row>
    <row r="135" ht="14.25" customHeight="1">
      <c r="A135" s="154" t="s">
        <v>47</v>
      </c>
      <c r="B135" s="155">
        <f>I136*J135</f>
        <v>2430000</v>
      </c>
      <c r="C135" s="26"/>
      <c r="D135" s="156">
        <v>1.0</v>
      </c>
      <c r="E135" s="157">
        <f t="shared" si="133"/>
        <v>0.6</v>
      </c>
      <c r="F135" s="158">
        <f>H135</f>
        <v>972000</v>
      </c>
      <c r="G135" s="158">
        <v>0.0</v>
      </c>
      <c r="H135" s="158">
        <f>B135-(B135*E135)</f>
        <v>972000</v>
      </c>
      <c r="I135" s="159">
        <f>H135/J135</f>
        <v>6000</v>
      </c>
      <c r="J135" s="160">
        <v>162.0</v>
      </c>
      <c r="K135" s="26"/>
      <c r="L135" s="156">
        <f>$D$25</f>
        <v>1</v>
      </c>
      <c r="M135" s="157">
        <f t="shared" si="134"/>
        <v>0.65</v>
      </c>
      <c r="N135" s="158">
        <f>P135</f>
        <v>481950</v>
      </c>
      <c r="O135" s="158">
        <v>0.0</v>
      </c>
      <c r="P135" s="158">
        <f t="shared" ref="P135:P136" si="140">$B$25-($B$25*M135)</f>
        <v>481950</v>
      </c>
      <c r="Q135" s="159">
        <f>P135/R135</f>
        <v>2975</v>
      </c>
      <c r="R135" s="160">
        <f>J135</f>
        <v>162</v>
      </c>
      <c r="S135" s="26"/>
      <c r="T135" s="156">
        <f>$D$25</f>
        <v>1</v>
      </c>
      <c r="U135" s="157">
        <f t="shared" si="136"/>
        <v>0.7</v>
      </c>
      <c r="V135" s="158">
        <f>X135</f>
        <v>413100</v>
      </c>
      <c r="W135" s="158">
        <v>0.0</v>
      </c>
      <c r="X135" s="158">
        <f t="shared" ref="X135:X136" si="141">$B$25-($B$25*U135)</f>
        <v>413100</v>
      </c>
      <c r="Y135" s="159">
        <f>X135/Z135</f>
        <v>2550</v>
      </c>
      <c r="Z135" s="160">
        <f>R135</f>
        <v>162</v>
      </c>
      <c r="AA135" s="26"/>
      <c r="AB135" s="156">
        <f>$D$25</f>
        <v>1</v>
      </c>
      <c r="AC135" s="157">
        <f t="shared" si="138"/>
        <v>0.75</v>
      </c>
      <c r="AD135" s="158">
        <f>AF135</f>
        <v>344250</v>
      </c>
      <c r="AE135" s="158">
        <v>0.0</v>
      </c>
      <c r="AF135" s="158">
        <f t="shared" ref="AF135:AF136" si="142">$B$25-($B$25*AC135)</f>
        <v>344250</v>
      </c>
      <c r="AG135" s="159">
        <f>AF135/AH135</f>
        <v>2125</v>
      </c>
      <c r="AH135" s="160">
        <f>Z135</f>
        <v>162</v>
      </c>
    </row>
    <row r="136" ht="14.25" customHeight="1">
      <c r="A136" s="68"/>
      <c r="B136" s="69"/>
      <c r="C136" s="26"/>
      <c r="D136" s="161">
        <v>3.0</v>
      </c>
      <c r="E136" s="162">
        <f t="shared" si="133"/>
        <v>0.2</v>
      </c>
      <c r="F136" s="163">
        <f>H136/D136</f>
        <v>648000</v>
      </c>
      <c r="G136" s="164">
        <f>(H136-F136)/(D136-1)</f>
        <v>648000</v>
      </c>
      <c r="H136" s="164">
        <f>B135-(B135*E136)</f>
        <v>1944000</v>
      </c>
      <c r="I136" s="273">
        <f>I134</f>
        <v>15000</v>
      </c>
      <c r="J136" s="274">
        <v>27.0</v>
      </c>
      <c r="K136" s="26"/>
      <c r="L136" s="161">
        <f>$D$26</f>
        <v>3</v>
      </c>
      <c r="M136" s="162">
        <f t="shared" si="134"/>
        <v>0.25</v>
      </c>
      <c r="N136" s="163">
        <f>P136*50%</f>
        <v>516375</v>
      </c>
      <c r="O136" s="164">
        <f>(P136-N136)/(L136-1)</f>
        <v>258187.5</v>
      </c>
      <c r="P136" s="164">
        <f t="shared" si="140"/>
        <v>1032750</v>
      </c>
      <c r="Q136" s="273">
        <f>P136/R135</f>
        <v>6375</v>
      </c>
      <c r="R136" s="274">
        <v>27.0</v>
      </c>
      <c r="S136" s="26"/>
      <c r="T136" s="161">
        <f>$D$26</f>
        <v>3</v>
      </c>
      <c r="U136" s="162">
        <f t="shared" si="136"/>
        <v>0.3</v>
      </c>
      <c r="V136" s="163">
        <f>X136*50%</f>
        <v>481950</v>
      </c>
      <c r="W136" s="164">
        <f>(X136-V136)/(T136-1)</f>
        <v>240975</v>
      </c>
      <c r="X136" s="164">
        <f t="shared" si="141"/>
        <v>963900</v>
      </c>
      <c r="Y136" s="273">
        <f>X136/Z135</f>
        <v>5950</v>
      </c>
      <c r="Z136" s="274">
        <v>27.0</v>
      </c>
      <c r="AA136" s="26"/>
      <c r="AB136" s="161">
        <f>$D$26</f>
        <v>3</v>
      </c>
      <c r="AC136" s="162">
        <f t="shared" si="138"/>
        <v>0.35</v>
      </c>
      <c r="AD136" s="163">
        <f>AF136*50%</f>
        <v>447525</v>
      </c>
      <c r="AE136" s="164">
        <f>(AF136-AD136)/(AB136-1)</f>
        <v>223762.5</v>
      </c>
      <c r="AF136" s="164">
        <f t="shared" si="142"/>
        <v>895050</v>
      </c>
      <c r="AG136" s="273">
        <f>AF136/AH135</f>
        <v>5525</v>
      </c>
      <c r="AH136" s="274">
        <v>27.0</v>
      </c>
    </row>
    <row r="137" ht="14.25" customHeight="1">
      <c r="A137" s="154" t="s">
        <v>51</v>
      </c>
      <c r="B137" s="155">
        <f>I138*J137</f>
        <v>2670000</v>
      </c>
      <c r="C137" s="26"/>
      <c r="D137" s="156">
        <v>1.0</v>
      </c>
      <c r="E137" s="157">
        <f t="shared" si="133"/>
        <v>0.6</v>
      </c>
      <c r="F137" s="158">
        <f>H137</f>
        <v>1068000</v>
      </c>
      <c r="G137" s="158">
        <v>0.0</v>
      </c>
      <c r="H137" s="158">
        <f>B137-(B137*E137)</f>
        <v>1068000</v>
      </c>
      <c r="I137" s="159">
        <f>H137/J137</f>
        <v>6000</v>
      </c>
      <c r="J137" s="160">
        <v>178.0</v>
      </c>
      <c r="K137" s="26"/>
      <c r="L137" s="156">
        <f>$D$43</f>
        <v>1</v>
      </c>
      <c r="M137" s="157">
        <f t="shared" si="134"/>
        <v>0.65</v>
      </c>
      <c r="N137" s="158">
        <f>P137</f>
        <v>672000</v>
      </c>
      <c r="O137" s="158">
        <v>0.0</v>
      </c>
      <c r="P137" s="158">
        <f t="shared" ref="P137:P138" si="143">$B$43-($B$43*M137)</f>
        <v>672000</v>
      </c>
      <c r="Q137" s="159">
        <f>P137/R137</f>
        <v>3775.280899</v>
      </c>
      <c r="R137" s="160">
        <f>J137</f>
        <v>178</v>
      </c>
      <c r="S137" s="26"/>
      <c r="T137" s="156">
        <f>$D$43</f>
        <v>1</v>
      </c>
      <c r="U137" s="157">
        <f t="shared" si="136"/>
        <v>0.7</v>
      </c>
      <c r="V137" s="158">
        <f>X137</f>
        <v>576000</v>
      </c>
      <c r="W137" s="158">
        <v>0.0</v>
      </c>
      <c r="X137" s="158">
        <f t="shared" ref="X137:X138" si="144">$B$43-($B$43*U137)</f>
        <v>576000</v>
      </c>
      <c r="Y137" s="159">
        <f>X137/Z137</f>
        <v>3235.955056</v>
      </c>
      <c r="Z137" s="160">
        <f>R137</f>
        <v>178</v>
      </c>
      <c r="AA137" s="26"/>
      <c r="AB137" s="156">
        <f>$D$43</f>
        <v>1</v>
      </c>
      <c r="AC137" s="157">
        <f t="shared" si="138"/>
        <v>0.75</v>
      </c>
      <c r="AD137" s="158">
        <f>AF137</f>
        <v>480000</v>
      </c>
      <c r="AE137" s="158">
        <v>0.0</v>
      </c>
      <c r="AF137" s="158">
        <f t="shared" ref="AF137:AF138" si="145">$B$43-($B$43*AC137)</f>
        <v>480000</v>
      </c>
      <c r="AG137" s="159">
        <f>AF137/AH137</f>
        <v>2696.629213</v>
      </c>
      <c r="AH137" s="160">
        <f>Z137</f>
        <v>178</v>
      </c>
    </row>
    <row r="138" ht="14.25" customHeight="1">
      <c r="A138" s="68"/>
      <c r="B138" s="69"/>
      <c r="C138" s="26"/>
      <c r="D138" s="161">
        <v>3.0</v>
      </c>
      <c r="E138" s="162">
        <f t="shared" si="133"/>
        <v>0.2</v>
      </c>
      <c r="F138" s="163">
        <f>H138/D138</f>
        <v>712000</v>
      </c>
      <c r="G138" s="164">
        <f>(H138-F138)/(D138-1)</f>
        <v>712000</v>
      </c>
      <c r="H138" s="164">
        <f>B137-(B137*E138)</f>
        <v>2136000</v>
      </c>
      <c r="I138" s="164">
        <f>I134</f>
        <v>15000</v>
      </c>
      <c r="J138" s="165">
        <f>J137/D138</f>
        <v>59.33333333</v>
      </c>
      <c r="K138" s="26"/>
      <c r="L138" s="161">
        <f>$D$44</f>
        <v>3</v>
      </c>
      <c r="M138" s="162">
        <f t="shared" si="134"/>
        <v>0.25</v>
      </c>
      <c r="N138" s="163">
        <f>P138*50%</f>
        <v>720000</v>
      </c>
      <c r="O138" s="164">
        <f>(P138-N138)/(L138-1)</f>
        <v>360000</v>
      </c>
      <c r="P138" s="164">
        <f t="shared" si="143"/>
        <v>1440000</v>
      </c>
      <c r="Q138" s="164">
        <f>P138/R137</f>
        <v>8089.88764</v>
      </c>
      <c r="R138" s="165">
        <v>27.0</v>
      </c>
      <c r="S138" s="26"/>
      <c r="T138" s="161">
        <f>$D$44</f>
        <v>3</v>
      </c>
      <c r="U138" s="162">
        <f t="shared" si="136"/>
        <v>0.3</v>
      </c>
      <c r="V138" s="163">
        <f>X138*50%</f>
        <v>672000</v>
      </c>
      <c r="W138" s="164">
        <f>(X138-V138)/(T138-1)</f>
        <v>336000</v>
      </c>
      <c r="X138" s="164">
        <f t="shared" si="144"/>
        <v>1344000</v>
      </c>
      <c r="Y138" s="164">
        <f>X138/Z137</f>
        <v>7550.561798</v>
      </c>
      <c r="Z138" s="165">
        <v>27.0</v>
      </c>
      <c r="AA138" s="26"/>
      <c r="AB138" s="161">
        <f>$D$44</f>
        <v>3</v>
      </c>
      <c r="AC138" s="162">
        <f t="shared" si="138"/>
        <v>0.35</v>
      </c>
      <c r="AD138" s="163">
        <f>AF138*50%</f>
        <v>624000</v>
      </c>
      <c r="AE138" s="164">
        <f>(AF138-AD138)/(AB138-1)</f>
        <v>312000</v>
      </c>
      <c r="AF138" s="164">
        <f t="shared" si="145"/>
        <v>1248000</v>
      </c>
      <c r="AG138" s="164">
        <f>AF138/AH137</f>
        <v>7011.235955</v>
      </c>
      <c r="AH138" s="165">
        <v>27.0</v>
      </c>
    </row>
    <row r="139" ht="14.25" customHeight="1">
      <c r="A139" s="154" t="s">
        <v>71</v>
      </c>
      <c r="B139" s="155">
        <f>I140*J139</f>
        <v>3030000</v>
      </c>
      <c r="C139" s="26"/>
      <c r="D139" s="156">
        <v>1.0</v>
      </c>
      <c r="E139" s="157">
        <f t="shared" si="133"/>
        <v>0.7</v>
      </c>
      <c r="F139" s="158">
        <f>H139</f>
        <v>909000</v>
      </c>
      <c r="G139" s="158">
        <v>0.0</v>
      </c>
      <c r="H139" s="158">
        <f>B139-(B139*E139)</f>
        <v>909000</v>
      </c>
      <c r="I139" s="159">
        <f>H139/J139</f>
        <v>4500</v>
      </c>
      <c r="J139" s="160">
        <v>202.0</v>
      </c>
      <c r="K139" s="26"/>
      <c r="L139" s="156">
        <f>$D$58</f>
        <v>1</v>
      </c>
      <c r="M139" s="157">
        <f t="shared" si="134"/>
        <v>0.75</v>
      </c>
      <c r="N139" s="158">
        <f>P139</f>
        <v>480000</v>
      </c>
      <c r="O139" s="158">
        <v>0.0</v>
      </c>
      <c r="P139" s="158">
        <f t="shared" ref="P139:P140" si="146">$B$58-($B$58*M139)</f>
        <v>480000</v>
      </c>
      <c r="Q139" s="159">
        <f>P139/R139</f>
        <v>2376.237624</v>
      </c>
      <c r="R139" s="160">
        <f>J139</f>
        <v>202</v>
      </c>
      <c r="S139" s="26"/>
      <c r="T139" s="156">
        <f>$D$58</f>
        <v>1</v>
      </c>
      <c r="U139" s="157">
        <f t="shared" si="136"/>
        <v>0.8</v>
      </c>
      <c r="V139" s="158">
        <f>X139</f>
        <v>384000</v>
      </c>
      <c r="W139" s="158">
        <v>0.0</v>
      </c>
      <c r="X139" s="158">
        <f t="shared" ref="X139:X140" si="147">$B$58-($B$58*U139)</f>
        <v>384000</v>
      </c>
      <c r="Y139" s="159">
        <f>X139/Z139</f>
        <v>1900.990099</v>
      </c>
      <c r="Z139" s="160">
        <f>R139</f>
        <v>202</v>
      </c>
      <c r="AA139" s="26"/>
      <c r="AB139" s="156">
        <f>$D$58</f>
        <v>1</v>
      </c>
      <c r="AC139" s="157">
        <f t="shared" si="138"/>
        <v>0.85</v>
      </c>
      <c r="AD139" s="158">
        <f>AF139</f>
        <v>288000</v>
      </c>
      <c r="AE139" s="158">
        <v>0.0</v>
      </c>
      <c r="AF139" s="158">
        <f t="shared" ref="AF139:AF140" si="148">$B$58-($B$58*AC139)</f>
        <v>288000</v>
      </c>
      <c r="AG139" s="159">
        <f>AF139/AH139</f>
        <v>1425.742574</v>
      </c>
      <c r="AH139" s="160">
        <f>Z139</f>
        <v>202</v>
      </c>
    </row>
    <row r="140" ht="14.25" customHeight="1">
      <c r="A140" s="68"/>
      <c r="B140" s="69"/>
      <c r="C140" s="26"/>
      <c r="D140" s="161">
        <v>3.0</v>
      </c>
      <c r="E140" s="162">
        <f t="shared" si="133"/>
        <v>0.45</v>
      </c>
      <c r="F140" s="163">
        <f>H140/D140</f>
        <v>555500</v>
      </c>
      <c r="G140" s="164">
        <f>(H140-F140)/(D140-1)</f>
        <v>555500</v>
      </c>
      <c r="H140" s="164">
        <f>B139-(B139*E140)</f>
        <v>1666500</v>
      </c>
      <c r="I140" s="164">
        <f>I134</f>
        <v>15000</v>
      </c>
      <c r="J140" s="165">
        <f>J139/D140</f>
        <v>67.33333333</v>
      </c>
      <c r="K140" s="26"/>
      <c r="L140" s="161">
        <f>$D$59</f>
        <v>3</v>
      </c>
      <c r="M140" s="162">
        <f t="shared" si="134"/>
        <v>0.5</v>
      </c>
      <c r="N140" s="163">
        <f>P140*50%</f>
        <v>480000</v>
      </c>
      <c r="O140" s="164">
        <f>(P140-N140)/(L140-1)</f>
        <v>240000</v>
      </c>
      <c r="P140" s="164">
        <f t="shared" si="146"/>
        <v>960000</v>
      </c>
      <c r="Q140" s="164">
        <f>P140/R139</f>
        <v>4752.475248</v>
      </c>
      <c r="R140" s="165">
        <v>27.0</v>
      </c>
      <c r="S140" s="26"/>
      <c r="T140" s="161">
        <f>$D$59</f>
        <v>3</v>
      </c>
      <c r="U140" s="162">
        <f t="shared" si="136"/>
        <v>0.55</v>
      </c>
      <c r="V140" s="163">
        <f>X140*50%</f>
        <v>432000</v>
      </c>
      <c r="W140" s="164">
        <f>(X140-V140)/(T140-1)</f>
        <v>216000</v>
      </c>
      <c r="X140" s="164">
        <f t="shared" si="147"/>
        <v>864000</v>
      </c>
      <c r="Y140" s="164">
        <f>X140/Z139</f>
        <v>4277.227723</v>
      </c>
      <c r="Z140" s="165">
        <v>27.0</v>
      </c>
      <c r="AA140" s="26"/>
      <c r="AB140" s="161">
        <f>$D$59</f>
        <v>3</v>
      </c>
      <c r="AC140" s="162">
        <f t="shared" si="138"/>
        <v>0.6</v>
      </c>
      <c r="AD140" s="163">
        <f>AF140*50%</f>
        <v>384000</v>
      </c>
      <c r="AE140" s="164">
        <f>(AF140-AD140)/(AB140-1)</f>
        <v>192000</v>
      </c>
      <c r="AF140" s="164">
        <f t="shared" si="148"/>
        <v>768000</v>
      </c>
      <c r="AG140" s="164">
        <f>AF140/AH139</f>
        <v>3801.980198</v>
      </c>
      <c r="AH140" s="165">
        <v>27.0</v>
      </c>
    </row>
    <row r="141" ht="14.25" customHeight="1">
      <c r="A141" s="154" t="s">
        <v>56</v>
      </c>
      <c r="B141" s="155">
        <f>I142*J141</f>
        <v>3030000</v>
      </c>
      <c r="C141" s="26"/>
      <c r="D141" s="156">
        <v>1.0</v>
      </c>
      <c r="E141" s="157">
        <f t="shared" ref="E141:E142" si="149">E49+20%</f>
        <v>0.6</v>
      </c>
      <c r="F141" s="158">
        <f>H141</f>
        <v>1212000</v>
      </c>
      <c r="G141" s="158">
        <v>0.0</v>
      </c>
      <c r="H141" s="158">
        <f>B141-(B141*E141)</f>
        <v>1212000</v>
      </c>
      <c r="I141" s="159">
        <f>H141/J141</f>
        <v>6000</v>
      </c>
      <c r="J141" s="160">
        <v>202.0</v>
      </c>
      <c r="K141" s="26"/>
      <c r="L141" s="156">
        <f>$D$70</f>
        <v>1</v>
      </c>
      <c r="M141" s="157">
        <f t="shared" si="134"/>
        <v>0.65</v>
      </c>
      <c r="N141" s="158">
        <f>P141</f>
        <v>672000</v>
      </c>
      <c r="O141" s="158">
        <v>0.0</v>
      </c>
      <c r="P141" s="158">
        <f t="shared" ref="P141:P142" si="150">$B$70-($B$70*M141)</f>
        <v>672000</v>
      </c>
      <c r="Q141" s="159">
        <f>P141/R141</f>
        <v>3326.732673</v>
      </c>
      <c r="R141" s="160">
        <f>J141</f>
        <v>202</v>
      </c>
      <c r="S141" s="26"/>
      <c r="T141" s="156">
        <f>$D$70</f>
        <v>1</v>
      </c>
      <c r="U141" s="157">
        <f t="shared" si="136"/>
        <v>0.7</v>
      </c>
      <c r="V141" s="158">
        <f>X141</f>
        <v>576000</v>
      </c>
      <c r="W141" s="158">
        <v>0.0</v>
      </c>
      <c r="X141" s="158">
        <f t="shared" ref="X141:X142" si="151">$B$70-($B$70*U141)</f>
        <v>576000</v>
      </c>
      <c r="Y141" s="159">
        <f>X141/Z141</f>
        <v>2851.485149</v>
      </c>
      <c r="Z141" s="160">
        <f>R141</f>
        <v>202</v>
      </c>
      <c r="AA141" s="26"/>
      <c r="AB141" s="156">
        <f>$D$70</f>
        <v>1</v>
      </c>
      <c r="AC141" s="157">
        <f t="shared" si="138"/>
        <v>0.75</v>
      </c>
      <c r="AD141" s="158">
        <f>AF141</f>
        <v>480000</v>
      </c>
      <c r="AE141" s="158">
        <v>0.0</v>
      </c>
      <c r="AF141" s="158">
        <f t="shared" ref="AF141:AF142" si="152">$B$70-($B$70*AC141)</f>
        <v>480000</v>
      </c>
      <c r="AG141" s="159">
        <f>AF141/AH141</f>
        <v>2376.237624</v>
      </c>
      <c r="AH141" s="160">
        <f>Z141</f>
        <v>202</v>
      </c>
    </row>
    <row r="142" ht="14.25" customHeight="1">
      <c r="A142" s="68"/>
      <c r="B142" s="69"/>
      <c r="C142" s="26"/>
      <c r="D142" s="161">
        <v>3.0</v>
      </c>
      <c r="E142" s="162">
        <f t="shared" si="149"/>
        <v>0.4</v>
      </c>
      <c r="F142" s="163">
        <f>H142/D142</f>
        <v>606000</v>
      </c>
      <c r="G142" s="164">
        <f>(H142-F142)/(D142-1)</f>
        <v>606000</v>
      </c>
      <c r="H142" s="164">
        <f>B141-(B141*E142)</f>
        <v>1818000</v>
      </c>
      <c r="I142" s="164">
        <f>+I134</f>
        <v>15000</v>
      </c>
      <c r="J142" s="165">
        <f>J141/D142</f>
        <v>67.33333333</v>
      </c>
      <c r="K142" s="26"/>
      <c r="L142" s="161">
        <f>$D$71</f>
        <v>3</v>
      </c>
      <c r="M142" s="162">
        <f t="shared" si="134"/>
        <v>0.45</v>
      </c>
      <c r="N142" s="163">
        <f>P142*50%</f>
        <v>528000</v>
      </c>
      <c r="O142" s="164">
        <f>(P142-N142)/(L142-1)</f>
        <v>264000</v>
      </c>
      <c r="P142" s="164">
        <f t="shared" si="150"/>
        <v>1056000</v>
      </c>
      <c r="Q142" s="164">
        <f>P142/R141</f>
        <v>5227.722772</v>
      </c>
      <c r="R142" s="165">
        <v>27.0</v>
      </c>
      <c r="S142" s="26"/>
      <c r="T142" s="161">
        <f>$D$71</f>
        <v>3</v>
      </c>
      <c r="U142" s="162">
        <f t="shared" si="136"/>
        <v>0.5</v>
      </c>
      <c r="V142" s="163">
        <f>X142*50%</f>
        <v>480000</v>
      </c>
      <c r="W142" s="164">
        <f>(X142-V142)/(T142-1)</f>
        <v>240000</v>
      </c>
      <c r="X142" s="164">
        <f t="shared" si="151"/>
        <v>960000</v>
      </c>
      <c r="Y142" s="164">
        <f>X142/Z141</f>
        <v>4752.475248</v>
      </c>
      <c r="Z142" s="165">
        <v>27.0</v>
      </c>
      <c r="AA142" s="26"/>
      <c r="AB142" s="161">
        <f>$D$71</f>
        <v>3</v>
      </c>
      <c r="AC142" s="162">
        <f t="shared" si="138"/>
        <v>0.55</v>
      </c>
      <c r="AD142" s="163">
        <f>AF142*50%</f>
        <v>432000</v>
      </c>
      <c r="AE142" s="164">
        <f>(AF142-AD142)/(AB142-1)</f>
        <v>216000</v>
      </c>
      <c r="AF142" s="164">
        <f t="shared" si="152"/>
        <v>864000</v>
      </c>
      <c r="AG142" s="164">
        <f>AF142/AH141</f>
        <v>4277.227723</v>
      </c>
      <c r="AH142" s="165">
        <v>27.0</v>
      </c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</row>
    <row r="145" ht="14.25" customHeight="1">
      <c r="A145" s="275" t="s">
        <v>42</v>
      </c>
      <c r="B145" s="276">
        <f>I146*J145</f>
        <v>2430000</v>
      </c>
      <c r="C145" s="26"/>
      <c r="D145" s="277">
        <v>1.0</v>
      </c>
      <c r="E145" s="278">
        <f t="shared" ref="E145:E154" si="153">E133+20%</f>
        <v>0.8</v>
      </c>
      <c r="F145" s="279">
        <f>H145</f>
        <v>486000</v>
      </c>
      <c r="G145" s="279">
        <v>0.0</v>
      </c>
      <c r="H145" s="279">
        <f>B145-(B145*E145)</f>
        <v>486000</v>
      </c>
      <c r="I145" s="279">
        <f>H145/J$5</f>
        <v>3000</v>
      </c>
      <c r="J145" s="280">
        <v>162.0</v>
      </c>
      <c r="K145" s="26"/>
      <c r="L145" s="277">
        <f>$D$5</f>
        <v>1</v>
      </c>
      <c r="M145" s="278">
        <f t="shared" ref="M145:M154" si="154">E145+5%</f>
        <v>0.85</v>
      </c>
      <c r="N145" s="279">
        <f>P145</f>
        <v>163050</v>
      </c>
      <c r="O145" s="279">
        <v>0.0</v>
      </c>
      <c r="P145" s="279">
        <f t="shared" ref="P145:P146" si="155">$B$5-($B$5*M145)</f>
        <v>163050</v>
      </c>
      <c r="Q145" s="279">
        <f>P145/R145</f>
        <v>1006.481481</v>
      </c>
      <c r="R145" s="280">
        <f>J145</f>
        <v>162</v>
      </c>
      <c r="S145" s="26"/>
      <c r="T145" s="277">
        <f>$D$5</f>
        <v>1</v>
      </c>
      <c r="U145" s="278">
        <f t="shared" ref="U145:U154" si="156">M145+5%</f>
        <v>0.9</v>
      </c>
      <c r="V145" s="279">
        <f>X145</f>
        <v>108700</v>
      </c>
      <c r="W145" s="279">
        <v>0.0</v>
      </c>
      <c r="X145" s="279">
        <f t="shared" ref="X145:X146" si="157">$B$5-($B$5*U145)</f>
        <v>108700</v>
      </c>
      <c r="Y145" s="279">
        <f>X145/Z145</f>
        <v>670.9876543</v>
      </c>
      <c r="Z145" s="280">
        <f>R145</f>
        <v>162</v>
      </c>
      <c r="AA145" s="26"/>
      <c r="AB145" s="277">
        <f>$D$5</f>
        <v>1</v>
      </c>
      <c r="AC145" s="278">
        <f t="shared" ref="AC145:AC154" si="158">U145+5%</f>
        <v>0.95</v>
      </c>
      <c r="AD145" s="279">
        <f>AF145</f>
        <v>54350</v>
      </c>
      <c r="AE145" s="279">
        <v>0.0</v>
      </c>
      <c r="AF145" s="279">
        <f t="shared" ref="AF145:AF146" si="159">$B$5-($B$5*AC145)</f>
        <v>54350</v>
      </c>
      <c r="AG145" s="279">
        <f>AF145/AH145</f>
        <v>335.4938272</v>
      </c>
      <c r="AH145" s="280">
        <f>Z145</f>
        <v>162</v>
      </c>
    </row>
    <row r="146" ht="14.25" customHeight="1">
      <c r="A146" s="68"/>
      <c r="B146" s="69"/>
      <c r="C146" s="26"/>
      <c r="D146" s="281">
        <v>3.0</v>
      </c>
      <c r="E146" s="282">
        <f t="shared" si="153"/>
        <v>0.4</v>
      </c>
      <c r="F146" s="283">
        <f>H146/D146</f>
        <v>486000</v>
      </c>
      <c r="G146" s="284">
        <f>(H146-F146)/(D146-1)</f>
        <v>486000</v>
      </c>
      <c r="H146" s="284">
        <f>B145-(B145*E146)</f>
        <v>1458000</v>
      </c>
      <c r="I146" s="285">
        <v>15000.0</v>
      </c>
      <c r="J146" s="286">
        <v>27.0</v>
      </c>
      <c r="K146" s="26"/>
      <c r="L146" s="281">
        <f>$D$6</f>
        <v>3</v>
      </c>
      <c r="M146" s="282">
        <f t="shared" si="154"/>
        <v>0.45</v>
      </c>
      <c r="N146" s="283">
        <f>P146*50%</f>
        <v>298925</v>
      </c>
      <c r="O146" s="284">
        <f>(P146-N146)/(L146-1)</f>
        <v>149462.5</v>
      </c>
      <c r="P146" s="284">
        <f t="shared" si="155"/>
        <v>597850</v>
      </c>
      <c r="Q146" s="285">
        <f>P146/R145</f>
        <v>3690.432099</v>
      </c>
      <c r="R146" s="286">
        <v>27.0</v>
      </c>
      <c r="S146" s="26"/>
      <c r="T146" s="281">
        <f>$D$6</f>
        <v>3</v>
      </c>
      <c r="U146" s="282">
        <f t="shared" si="156"/>
        <v>0.5</v>
      </c>
      <c r="V146" s="283">
        <f>X146*50%</f>
        <v>271750</v>
      </c>
      <c r="W146" s="284">
        <f>(X146-V146)/(T146-1)</f>
        <v>135875</v>
      </c>
      <c r="X146" s="284">
        <f t="shared" si="157"/>
        <v>543500</v>
      </c>
      <c r="Y146" s="285">
        <f>X146/Z145</f>
        <v>3354.938272</v>
      </c>
      <c r="Z146" s="286">
        <v>27.0</v>
      </c>
      <c r="AA146" s="26"/>
      <c r="AB146" s="281">
        <f>$D$6</f>
        <v>3</v>
      </c>
      <c r="AC146" s="282">
        <f t="shared" si="158"/>
        <v>0.55</v>
      </c>
      <c r="AD146" s="283">
        <f>AF146*50%</f>
        <v>244575</v>
      </c>
      <c r="AE146" s="284">
        <f>(AF146-AD146)/(AB146-1)</f>
        <v>122287.5</v>
      </c>
      <c r="AF146" s="284">
        <f t="shared" si="159"/>
        <v>489150</v>
      </c>
      <c r="AG146" s="285">
        <f>AF146/AH145</f>
        <v>3019.444444</v>
      </c>
      <c r="AH146" s="286">
        <v>27.0</v>
      </c>
    </row>
    <row r="147" ht="14.25" customHeight="1">
      <c r="A147" s="275" t="s">
        <v>47</v>
      </c>
      <c r="B147" s="276">
        <f>I148*J147</f>
        <v>2430000</v>
      </c>
      <c r="C147" s="26"/>
      <c r="D147" s="277">
        <v>1.0</v>
      </c>
      <c r="E147" s="278">
        <f t="shared" si="153"/>
        <v>0.8</v>
      </c>
      <c r="F147" s="279">
        <f>H147</f>
        <v>486000</v>
      </c>
      <c r="G147" s="279">
        <v>0.0</v>
      </c>
      <c r="H147" s="279">
        <f>B147-(B147*E147)</f>
        <v>486000</v>
      </c>
      <c r="I147" s="287">
        <f>H147/J147</f>
        <v>3000</v>
      </c>
      <c r="J147" s="280">
        <v>162.0</v>
      </c>
      <c r="K147" s="26"/>
      <c r="L147" s="277">
        <f>$D$25</f>
        <v>1</v>
      </c>
      <c r="M147" s="278">
        <f t="shared" si="154"/>
        <v>0.85</v>
      </c>
      <c r="N147" s="279">
        <f>P147</f>
        <v>206550</v>
      </c>
      <c r="O147" s="279">
        <v>0.0</v>
      </c>
      <c r="P147" s="279">
        <f t="shared" ref="P147:P148" si="160">$B$25-($B$25*M147)</f>
        <v>206550</v>
      </c>
      <c r="Q147" s="287">
        <f>P147/R147</f>
        <v>1275</v>
      </c>
      <c r="R147" s="280">
        <f>J147</f>
        <v>162</v>
      </c>
      <c r="S147" s="26"/>
      <c r="T147" s="277">
        <f>$D$25</f>
        <v>1</v>
      </c>
      <c r="U147" s="278">
        <f t="shared" si="156"/>
        <v>0.9</v>
      </c>
      <c r="V147" s="279">
        <f>X147</f>
        <v>137700</v>
      </c>
      <c r="W147" s="279">
        <v>0.0</v>
      </c>
      <c r="X147" s="279">
        <f t="shared" ref="X147:X148" si="161">$B$25-($B$25*U147)</f>
        <v>137700</v>
      </c>
      <c r="Y147" s="287">
        <f>X147/Z147</f>
        <v>850</v>
      </c>
      <c r="Z147" s="280">
        <f>R147</f>
        <v>162</v>
      </c>
      <c r="AA147" s="26"/>
      <c r="AB147" s="277">
        <f>$D$25</f>
        <v>1</v>
      </c>
      <c r="AC147" s="278">
        <f t="shared" si="158"/>
        <v>0.95</v>
      </c>
      <c r="AD147" s="279">
        <f>AF147</f>
        <v>68850</v>
      </c>
      <c r="AE147" s="279">
        <v>0.0</v>
      </c>
      <c r="AF147" s="279">
        <f t="shared" ref="AF147:AF148" si="162">$B$25-($B$25*AC147)</f>
        <v>68850</v>
      </c>
      <c r="AG147" s="287">
        <f>AF147/AH147</f>
        <v>425</v>
      </c>
      <c r="AH147" s="280">
        <f>Z147</f>
        <v>162</v>
      </c>
    </row>
    <row r="148" ht="14.25" customHeight="1">
      <c r="A148" s="68"/>
      <c r="B148" s="69"/>
      <c r="C148" s="26"/>
      <c r="D148" s="281">
        <v>3.0</v>
      </c>
      <c r="E148" s="282">
        <f t="shared" si="153"/>
        <v>0.4</v>
      </c>
      <c r="F148" s="283">
        <f>H148/D148</f>
        <v>486000</v>
      </c>
      <c r="G148" s="284">
        <f>(H148-F148)/(D148-1)</f>
        <v>486000</v>
      </c>
      <c r="H148" s="284">
        <f>B147-(B147*E148)</f>
        <v>1458000</v>
      </c>
      <c r="I148" s="285">
        <f>I146</f>
        <v>15000</v>
      </c>
      <c r="J148" s="286">
        <v>27.0</v>
      </c>
      <c r="K148" s="26"/>
      <c r="L148" s="281">
        <f>$D$26</f>
        <v>3</v>
      </c>
      <c r="M148" s="282">
        <f t="shared" si="154"/>
        <v>0.45</v>
      </c>
      <c r="N148" s="283">
        <f>P148*50%</f>
        <v>378675</v>
      </c>
      <c r="O148" s="284">
        <f>(P148-N148)/(L148-1)</f>
        <v>189337.5</v>
      </c>
      <c r="P148" s="284">
        <f t="shared" si="160"/>
        <v>757350</v>
      </c>
      <c r="Q148" s="285">
        <f>P148/R147</f>
        <v>4675</v>
      </c>
      <c r="R148" s="286">
        <v>27.0</v>
      </c>
      <c r="S148" s="26"/>
      <c r="T148" s="281">
        <f>$D$26</f>
        <v>3</v>
      </c>
      <c r="U148" s="282">
        <f t="shared" si="156"/>
        <v>0.5</v>
      </c>
      <c r="V148" s="283">
        <f>X148*50%</f>
        <v>344250</v>
      </c>
      <c r="W148" s="284">
        <f>(X148-V148)/(T148-1)</f>
        <v>172125</v>
      </c>
      <c r="X148" s="284">
        <f t="shared" si="161"/>
        <v>688500</v>
      </c>
      <c r="Y148" s="285">
        <f>X148/Z147</f>
        <v>4250</v>
      </c>
      <c r="Z148" s="286">
        <v>27.0</v>
      </c>
      <c r="AA148" s="26"/>
      <c r="AB148" s="281">
        <f>$D$26</f>
        <v>3</v>
      </c>
      <c r="AC148" s="282">
        <f t="shared" si="158"/>
        <v>0.55</v>
      </c>
      <c r="AD148" s="283">
        <f>AF148*50%</f>
        <v>309825</v>
      </c>
      <c r="AE148" s="284">
        <f>(AF148-AD148)/(AB148-1)</f>
        <v>154912.5</v>
      </c>
      <c r="AF148" s="284">
        <f t="shared" si="162"/>
        <v>619650</v>
      </c>
      <c r="AG148" s="285">
        <f>AF148/AH147</f>
        <v>3825</v>
      </c>
      <c r="AH148" s="286">
        <v>27.0</v>
      </c>
    </row>
    <row r="149" ht="14.25" customHeight="1">
      <c r="A149" s="275" t="s">
        <v>51</v>
      </c>
      <c r="B149" s="276">
        <f>I150*J149</f>
        <v>2670000</v>
      </c>
      <c r="C149" s="26"/>
      <c r="D149" s="277">
        <v>1.0</v>
      </c>
      <c r="E149" s="278">
        <f t="shared" si="153"/>
        <v>0.8</v>
      </c>
      <c r="F149" s="279">
        <f>H149</f>
        <v>534000</v>
      </c>
      <c r="G149" s="279">
        <v>0.0</v>
      </c>
      <c r="H149" s="279">
        <f>B149-(B149*E149)</f>
        <v>534000</v>
      </c>
      <c r="I149" s="287">
        <f>H149/J149</f>
        <v>3000</v>
      </c>
      <c r="J149" s="280">
        <v>178.0</v>
      </c>
      <c r="K149" s="26"/>
      <c r="L149" s="277">
        <f>$D$43</f>
        <v>1</v>
      </c>
      <c r="M149" s="278">
        <f t="shared" si="154"/>
        <v>0.85</v>
      </c>
      <c r="N149" s="279">
        <f>P149</f>
        <v>288000</v>
      </c>
      <c r="O149" s="279">
        <v>0.0</v>
      </c>
      <c r="P149" s="279">
        <f t="shared" ref="P149:P150" si="163">$B$43-($B$43*M149)</f>
        <v>288000</v>
      </c>
      <c r="Q149" s="287">
        <f>P149/R149</f>
        <v>1617.977528</v>
      </c>
      <c r="R149" s="280">
        <f>J149</f>
        <v>178</v>
      </c>
      <c r="S149" s="26"/>
      <c r="T149" s="277">
        <f>$D$43</f>
        <v>1</v>
      </c>
      <c r="U149" s="278">
        <f t="shared" si="156"/>
        <v>0.9</v>
      </c>
      <c r="V149" s="279">
        <f>X149</f>
        <v>192000</v>
      </c>
      <c r="W149" s="279">
        <v>0.0</v>
      </c>
      <c r="X149" s="279">
        <f t="shared" ref="X149:X150" si="164">$B$43-($B$43*U149)</f>
        <v>192000</v>
      </c>
      <c r="Y149" s="287">
        <f>X149/Z149</f>
        <v>1078.651685</v>
      </c>
      <c r="Z149" s="280">
        <f>R149</f>
        <v>178</v>
      </c>
      <c r="AA149" s="26"/>
      <c r="AB149" s="277">
        <f>$D$43</f>
        <v>1</v>
      </c>
      <c r="AC149" s="278">
        <f t="shared" si="158"/>
        <v>0.95</v>
      </c>
      <c r="AD149" s="279">
        <f>AF149</f>
        <v>96000</v>
      </c>
      <c r="AE149" s="279">
        <v>0.0</v>
      </c>
      <c r="AF149" s="279">
        <f t="shared" ref="AF149:AF150" si="165">$B$43-($B$43*AC149)</f>
        <v>96000</v>
      </c>
      <c r="AG149" s="287">
        <f>AF149/AH149</f>
        <v>539.3258427</v>
      </c>
      <c r="AH149" s="280">
        <f>Z149</f>
        <v>178</v>
      </c>
    </row>
    <row r="150" ht="14.25" customHeight="1">
      <c r="A150" s="68"/>
      <c r="B150" s="69"/>
      <c r="C150" s="26"/>
      <c r="D150" s="281">
        <v>3.0</v>
      </c>
      <c r="E150" s="282">
        <f t="shared" si="153"/>
        <v>0.4</v>
      </c>
      <c r="F150" s="283">
        <f>H150/D150</f>
        <v>534000</v>
      </c>
      <c r="G150" s="284">
        <f>(H150-F150)/(D150-1)</f>
        <v>534000</v>
      </c>
      <c r="H150" s="284">
        <f>B149-(B149*E150)</f>
        <v>1602000</v>
      </c>
      <c r="I150" s="284">
        <f>I146</f>
        <v>15000</v>
      </c>
      <c r="J150" s="288">
        <f>J149/D150</f>
        <v>59.33333333</v>
      </c>
      <c r="K150" s="26"/>
      <c r="L150" s="281">
        <f>$D$44</f>
        <v>3</v>
      </c>
      <c r="M150" s="282">
        <f t="shared" si="154"/>
        <v>0.45</v>
      </c>
      <c r="N150" s="283">
        <f>P150*50%</f>
        <v>528000</v>
      </c>
      <c r="O150" s="284">
        <f>(P150-N150)/(L150-1)</f>
        <v>264000</v>
      </c>
      <c r="P150" s="284">
        <f t="shared" si="163"/>
        <v>1056000</v>
      </c>
      <c r="Q150" s="284">
        <f>P150/R149</f>
        <v>5932.58427</v>
      </c>
      <c r="R150" s="288">
        <v>27.0</v>
      </c>
      <c r="S150" s="26"/>
      <c r="T150" s="281">
        <f>$D$44</f>
        <v>3</v>
      </c>
      <c r="U150" s="282">
        <f t="shared" si="156"/>
        <v>0.5</v>
      </c>
      <c r="V150" s="283">
        <f>X150*50%</f>
        <v>480000</v>
      </c>
      <c r="W150" s="284">
        <f>(X150-V150)/(T150-1)</f>
        <v>240000</v>
      </c>
      <c r="X150" s="284">
        <f t="shared" si="164"/>
        <v>960000</v>
      </c>
      <c r="Y150" s="284">
        <f>X150/Z149</f>
        <v>5393.258427</v>
      </c>
      <c r="Z150" s="288">
        <v>27.0</v>
      </c>
      <c r="AA150" s="26"/>
      <c r="AB150" s="281">
        <f>$D$44</f>
        <v>3</v>
      </c>
      <c r="AC150" s="282">
        <f t="shared" si="158"/>
        <v>0.55</v>
      </c>
      <c r="AD150" s="283">
        <f>AF150*50%</f>
        <v>432000</v>
      </c>
      <c r="AE150" s="284">
        <f>(AF150-AD150)/(AB150-1)</f>
        <v>216000</v>
      </c>
      <c r="AF150" s="284">
        <f t="shared" si="165"/>
        <v>864000</v>
      </c>
      <c r="AG150" s="284">
        <f>AF150/AH149</f>
        <v>4853.932584</v>
      </c>
      <c r="AH150" s="288">
        <v>27.0</v>
      </c>
    </row>
    <row r="151" ht="14.25" customHeight="1">
      <c r="A151" s="275" t="s">
        <v>71</v>
      </c>
      <c r="B151" s="276">
        <f>I152*J151</f>
        <v>3030000</v>
      </c>
      <c r="C151" s="26"/>
      <c r="D151" s="277">
        <v>1.0</v>
      </c>
      <c r="E151" s="278">
        <f t="shared" si="153"/>
        <v>0.9</v>
      </c>
      <c r="F151" s="279">
        <f>H151</f>
        <v>303000</v>
      </c>
      <c r="G151" s="279">
        <v>0.0</v>
      </c>
      <c r="H151" s="279">
        <f>B151-(B151*E151)</f>
        <v>303000</v>
      </c>
      <c r="I151" s="287">
        <f>H151/J151</f>
        <v>1500</v>
      </c>
      <c r="J151" s="280">
        <v>202.0</v>
      </c>
      <c r="K151" s="26"/>
      <c r="L151" s="277">
        <f>$D$58</f>
        <v>1</v>
      </c>
      <c r="M151" s="278">
        <f t="shared" si="154"/>
        <v>0.95</v>
      </c>
      <c r="N151" s="279">
        <f>P151</f>
        <v>96000</v>
      </c>
      <c r="O151" s="279">
        <v>0.0</v>
      </c>
      <c r="P151" s="279">
        <f t="shared" ref="P151:P152" si="166">$B$58-($B$58*M151)</f>
        <v>96000</v>
      </c>
      <c r="Q151" s="287">
        <f>P151/R151</f>
        <v>475.2475248</v>
      </c>
      <c r="R151" s="280">
        <f>J151</f>
        <v>202</v>
      </c>
      <c r="S151" s="26"/>
      <c r="T151" s="277">
        <f>$D$58</f>
        <v>1</v>
      </c>
      <c r="U151" s="278">
        <f t="shared" si="156"/>
        <v>1</v>
      </c>
      <c r="V151" s="279">
        <f>X151</f>
        <v>0</v>
      </c>
      <c r="W151" s="279">
        <v>0.0</v>
      </c>
      <c r="X151" s="279">
        <f t="shared" ref="X151:X152" si="167">$B$58-($B$58*U151)</f>
        <v>0</v>
      </c>
      <c r="Y151" s="287">
        <f>X151/Z151</f>
        <v>0</v>
      </c>
      <c r="Z151" s="280">
        <f>R151</f>
        <v>202</v>
      </c>
      <c r="AA151" s="26"/>
      <c r="AB151" s="277">
        <f>$D$58</f>
        <v>1</v>
      </c>
      <c r="AC151" s="278">
        <f t="shared" si="158"/>
        <v>1.05</v>
      </c>
      <c r="AD151" s="279">
        <f>AF151</f>
        <v>-96000</v>
      </c>
      <c r="AE151" s="279">
        <v>0.0</v>
      </c>
      <c r="AF151" s="279">
        <f t="shared" ref="AF151:AF152" si="168">$B$58-($B$58*AC151)</f>
        <v>-96000</v>
      </c>
      <c r="AG151" s="287">
        <f>AF151/AH151</f>
        <v>-475.2475248</v>
      </c>
      <c r="AH151" s="280">
        <f>Z151</f>
        <v>202</v>
      </c>
    </row>
    <row r="152" ht="14.25" customHeight="1">
      <c r="A152" s="68"/>
      <c r="B152" s="69"/>
      <c r="C152" s="26"/>
      <c r="D152" s="281">
        <v>3.0</v>
      </c>
      <c r="E152" s="282">
        <f t="shared" si="153"/>
        <v>0.65</v>
      </c>
      <c r="F152" s="283">
        <f>H152/D152</f>
        <v>353500</v>
      </c>
      <c r="G152" s="284">
        <f>(H152-F152)/(D152-1)</f>
        <v>353500</v>
      </c>
      <c r="H152" s="284">
        <f>B151-(B151*E152)</f>
        <v>1060500</v>
      </c>
      <c r="I152" s="284">
        <f>I146</f>
        <v>15000</v>
      </c>
      <c r="J152" s="288">
        <f>J151/D152</f>
        <v>67.33333333</v>
      </c>
      <c r="K152" s="26"/>
      <c r="L152" s="281">
        <f>$D$59</f>
        <v>3</v>
      </c>
      <c r="M152" s="282">
        <f t="shared" si="154"/>
        <v>0.7</v>
      </c>
      <c r="N152" s="283">
        <f>P152*50%</f>
        <v>288000</v>
      </c>
      <c r="O152" s="284">
        <f>(P152-N152)/(L152-1)</f>
        <v>144000</v>
      </c>
      <c r="P152" s="284">
        <f t="shared" si="166"/>
        <v>576000</v>
      </c>
      <c r="Q152" s="284">
        <f>P152/R151</f>
        <v>2851.485149</v>
      </c>
      <c r="R152" s="288">
        <v>27.0</v>
      </c>
      <c r="S152" s="26"/>
      <c r="T152" s="281">
        <f>$D$59</f>
        <v>3</v>
      </c>
      <c r="U152" s="282">
        <f t="shared" si="156"/>
        <v>0.75</v>
      </c>
      <c r="V152" s="283">
        <f>X152*50%</f>
        <v>240000</v>
      </c>
      <c r="W152" s="284">
        <f>(X152-V152)/(T152-1)</f>
        <v>120000</v>
      </c>
      <c r="X152" s="284">
        <f t="shared" si="167"/>
        <v>480000</v>
      </c>
      <c r="Y152" s="284">
        <f>X152/Z151</f>
        <v>2376.237624</v>
      </c>
      <c r="Z152" s="288">
        <v>27.0</v>
      </c>
      <c r="AA152" s="26"/>
      <c r="AB152" s="281">
        <f>$D$59</f>
        <v>3</v>
      </c>
      <c r="AC152" s="282">
        <f t="shared" si="158"/>
        <v>0.8</v>
      </c>
      <c r="AD152" s="283">
        <f>AF152*50%</f>
        <v>192000</v>
      </c>
      <c r="AE152" s="284">
        <f>(AF152-AD152)/(AB152-1)</f>
        <v>96000</v>
      </c>
      <c r="AF152" s="284">
        <f t="shared" si="168"/>
        <v>384000</v>
      </c>
      <c r="AG152" s="284">
        <f>AF152/AH151</f>
        <v>1900.990099</v>
      </c>
      <c r="AH152" s="288">
        <v>27.0</v>
      </c>
    </row>
    <row r="153" ht="14.25" customHeight="1">
      <c r="A153" s="275" t="s">
        <v>56</v>
      </c>
      <c r="B153" s="276">
        <f>I154*J153</f>
        <v>3030000</v>
      </c>
      <c r="C153" s="26"/>
      <c r="D153" s="277">
        <v>1.0</v>
      </c>
      <c r="E153" s="278">
        <f t="shared" si="153"/>
        <v>0.8</v>
      </c>
      <c r="F153" s="279">
        <f>H153</f>
        <v>606000</v>
      </c>
      <c r="G153" s="279">
        <v>0.0</v>
      </c>
      <c r="H153" s="279">
        <f>B153-(B153*E153)</f>
        <v>606000</v>
      </c>
      <c r="I153" s="287">
        <f>H153/J153</f>
        <v>3000</v>
      </c>
      <c r="J153" s="280">
        <v>202.0</v>
      </c>
      <c r="K153" s="26"/>
      <c r="L153" s="277">
        <f>$D$70</f>
        <v>1</v>
      </c>
      <c r="M153" s="278">
        <f t="shared" si="154"/>
        <v>0.85</v>
      </c>
      <c r="N153" s="279">
        <f>P153</f>
        <v>288000</v>
      </c>
      <c r="O153" s="279">
        <v>0.0</v>
      </c>
      <c r="P153" s="279">
        <f t="shared" ref="P153:P154" si="169">$B$70-($B$70*M153)</f>
        <v>288000</v>
      </c>
      <c r="Q153" s="287">
        <f>P153/R153</f>
        <v>1425.742574</v>
      </c>
      <c r="R153" s="280">
        <f>J153</f>
        <v>202</v>
      </c>
      <c r="S153" s="26"/>
      <c r="T153" s="277">
        <f>$D$70</f>
        <v>1</v>
      </c>
      <c r="U153" s="278">
        <f t="shared" si="156"/>
        <v>0.9</v>
      </c>
      <c r="V153" s="279">
        <f>X153</f>
        <v>192000</v>
      </c>
      <c r="W153" s="279">
        <v>0.0</v>
      </c>
      <c r="X153" s="279">
        <f t="shared" ref="X153:X154" si="170">$B$70-($B$70*U153)</f>
        <v>192000</v>
      </c>
      <c r="Y153" s="287">
        <f>X153/Z153</f>
        <v>950.4950495</v>
      </c>
      <c r="Z153" s="280">
        <f>R153</f>
        <v>202</v>
      </c>
      <c r="AA153" s="26"/>
      <c r="AB153" s="277">
        <f>$D$70</f>
        <v>1</v>
      </c>
      <c r="AC153" s="278">
        <f t="shared" si="158"/>
        <v>0.95</v>
      </c>
      <c r="AD153" s="279">
        <f>AF153</f>
        <v>96000</v>
      </c>
      <c r="AE153" s="279">
        <v>0.0</v>
      </c>
      <c r="AF153" s="279">
        <f t="shared" ref="AF153:AF154" si="171">$B$70-($B$70*AC153)</f>
        <v>96000</v>
      </c>
      <c r="AG153" s="287">
        <f>AF153/AH153</f>
        <v>475.2475248</v>
      </c>
      <c r="AH153" s="280">
        <f>Z153</f>
        <v>202</v>
      </c>
    </row>
    <row r="154" ht="14.25" customHeight="1">
      <c r="A154" s="68"/>
      <c r="B154" s="69"/>
      <c r="C154" s="26"/>
      <c r="D154" s="281">
        <v>3.0</v>
      </c>
      <c r="E154" s="282">
        <f t="shared" si="153"/>
        <v>0.6</v>
      </c>
      <c r="F154" s="283">
        <f>H154/D154</f>
        <v>404000</v>
      </c>
      <c r="G154" s="284">
        <f>(H154-F154)/(D154-1)</f>
        <v>404000</v>
      </c>
      <c r="H154" s="284">
        <f>B153-(B153*E154)</f>
        <v>1212000</v>
      </c>
      <c r="I154" s="284">
        <f>+I146</f>
        <v>15000</v>
      </c>
      <c r="J154" s="288">
        <f>J153/D154</f>
        <v>67.33333333</v>
      </c>
      <c r="K154" s="26"/>
      <c r="L154" s="281">
        <f>$D$71</f>
        <v>3</v>
      </c>
      <c r="M154" s="282">
        <f t="shared" si="154"/>
        <v>0.65</v>
      </c>
      <c r="N154" s="283">
        <f>P154*50%</f>
        <v>336000</v>
      </c>
      <c r="O154" s="284">
        <f>(P154-N154)/(L154-1)</f>
        <v>168000</v>
      </c>
      <c r="P154" s="284">
        <f t="shared" si="169"/>
        <v>672000</v>
      </c>
      <c r="Q154" s="284">
        <f>P154/R153</f>
        <v>3326.732673</v>
      </c>
      <c r="R154" s="288">
        <v>27.0</v>
      </c>
      <c r="S154" s="26"/>
      <c r="T154" s="281">
        <f>$D$71</f>
        <v>3</v>
      </c>
      <c r="U154" s="282">
        <f t="shared" si="156"/>
        <v>0.7</v>
      </c>
      <c r="V154" s="283">
        <f>X154*50%</f>
        <v>288000</v>
      </c>
      <c r="W154" s="284">
        <f>(X154-V154)/(T154-1)</f>
        <v>144000</v>
      </c>
      <c r="X154" s="284">
        <f t="shared" si="170"/>
        <v>576000</v>
      </c>
      <c r="Y154" s="284">
        <f>X154/Z153</f>
        <v>2851.485149</v>
      </c>
      <c r="Z154" s="288">
        <v>27.0</v>
      </c>
      <c r="AA154" s="26"/>
      <c r="AB154" s="281">
        <f>$D$71</f>
        <v>3</v>
      </c>
      <c r="AC154" s="282">
        <f t="shared" si="158"/>
        <v>0.75</v>
      </c>
      <c r="AD154" s="283">
        <f>AF154*50%</f>
        <v>240000</v>
      </c>
      <c r="AE154" s="284">
        <f>(AF154-AD154)/(AB154-1)</f>
        <v>120000</v>
      </c>
      <c r="AF154" s="284">
        <f t="shared" si="171"/>
        <v>480000</v>
      </c>
      <c r="AG154" s="284">
        <f>AF154/AH153</f>
        <v>2376.237624</v>
      </c>
      <c r="AH154" s="288">
        <v>27.0</v>
      </c>
    </row>
    <row r="155" ht="14.25" customHeight="1">
      <c r="A155" s="26"/>
      <c r="B155" s="26"/>
      <c r="C155" s="26"/>
      <c r="D155" s="26"/>
      <c r="E155" s="3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</row>
    <row r="156" ht="14.25" customHeight="1">
      <c r="A156" s="26"/>
      <c r="B156" s="26"/>
      <c r="C156" s="26"/>
      <c r="D156" s="26"/>
      <c r="E156" s="3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</row>
    <row r="157" ht="14.25" customHeight="1">
      <c r="A157" s="26"/>
      <c r="B157" s="26"/>
      <c r="C157" s="26"/>
      <c r="D157" s="26"/>
      <c r="E157" s="3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</row>
    <row r="158" ht="14.25" customHeight="1">
      <c r="A158" s="26"/>
      <c r="B158" s="26"/>
      <c r="C158" s="26"/>
      <c r="D158" s="26"/>
      <c r="E158" s="3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</row>
    <row r="159" ht="14.25" customHeight="1">
      <c r="A159" s="26"/>
      <c r="B159" s="26"/>
      <c r="C159" s="26"/>
      <c r="D159" s="26"/>
      <c r="E159" s="3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</row>
    <row r="160" ht="14.25" customHeight="1">
      <c r="A160" s="26"/>
      <c r="B160" s="26"/>
      <c r="C160" s="26"/>
      <c r="D160" s="26"/>
      <c r="E160" s="3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</row>
    <row r="161" ht="14.25" customHeight="1">
      <c r="A161" s="26"/>
      <c r="B161" s="26"/>
      <c r="C161" s="26"/>
      <c r="D161" s="26"/>
      <c r="E161" s="3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</row>
    <row r="162" ht="14.25" customHeight="1">
      <c r="A162" s="26"/>
      <c r="B162" s="26"/>
      <c r="C162" s="26"/>
      <c r="D162" s="26"/>
      <c r="E162" s="3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</row>
    <row r="163" ht="14.25" customHeight="1">
      <c r="A163" s="26"/>
      <c r="B163" s="26"/>
      <c r="C163" s="26"/>
      <c r="D163" s="26"/>
      <c r="E163" s="3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</row>
    <row r="164" ht="14.25" customHeight="1">
      <c r="A164" s="26"/>
      <c r="B164" s="26"/>
      <c r="C164" s="26"/>
      <c r="D164" s="26"/>
      <c r="E164" s="3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</row>
    <row r="165" ht="14.25" customHeight="1">
      <c r="A165" s="26"/>
      <c r="B165" s="26"/>
      <c r="C165" s="26"/>
      <c r="D165" s="26"/>
      <c r="E165" s="3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</row>
    <row r="166" ht="14.25" customHeight="1">
      <c r="A166" s="26"/>
      <c r="B166" s="26"/>
      <c r="C166" s="26"/>
      <c r="D166" s="26"/>
      <c r="E166" s="3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</row>
    <row r="167" ht="14.25" customHeight="1">
      <c r="A167" s="26"/>
      <c r="B167" s="26"/>
      <c r="C167" s="26"/>
      <c r="D167" s="26"/>
      <c r="E167" s="3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</row>
    <row r="168" ht="14.25" customHeight="1">
      <c r="A168" s="26"/>
      <c r="B168" s="26"/>
      <c r="C168" s="26"/>
      <c r="D168" s="26"/>
      <c r="E168" s="3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</row>
    <row r="169" ht="14.25" customHeight="1">
      <c r="A169" s="26"/>
      <c r="B169" s="26"/>
      <c r="C169" s="26"/>
      <c r="D169" s="26"/>
      <c r="E169" s="3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</row>
    <row r="170" ht="14.25" customHeight="1">
      <c r="A170" s="26"/>
      <c r="B170" s="26"/>
      <c r="C170" s="26"/>
      <c r="D170" s="26"/>
      <c r="E170" s="3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</row>
    <row r="171" ht="14.25" customHeight="1">
      <c r="A171" s="26"/>
      <c r="B171" s="26"/>
      <c r="C171" s="26"/>
      <c r="D171" s="26"/>
      <c r="E171" s="3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</row>
    <row r="172" ht="14.25" customHeight="1">
      <c r="A172" s="26"/>
      <c r="B172" s="26"/>
      <c r="C172" s="26"/>
      <c r="D172" s="26"/>
      <c r="E172" s="3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</row>
    <row r="173" ht="14.25" customHeight="1">
      <c r="A173" s="26"/>
      <c r="B173" s="26"/>
      <c r="C173" s="26"/>
      <c r="D173" s="26"/>
      <c r="E173" s="3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</row>
    <row r="174" ht="14.25" customHeight="1">
      <c r="A174" s="26"/>
      <c r="B174" s="26"/>
      <c r="C174" s="26"/>
      <c r="D174" s="26"/>
      <c r="E174" s="3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</row>
    <row r="175" ht="14.25" customHeight="1">
      <c r="A175" s="26"/>
      <c r="B175" s="26"/>
      <c r="C175" s="26"/>
      <c r="D175" s="26"/>
      <c r="E175" s="3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</row>
    <row r="176" ht="14.25" customHeight="1">
      <c r="A176" s="26"/>
      <c r="B176" s="26"/>
      <c r="C176" s="26"/>
      <c r="D176" s="26"/>
      <c r="E176" s="3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</row>
    <row r="177" ht="14.25" customHeight="1">
      <c r="A177" s="26"/>
      <c r="B177" s="26"/>
      <c r="C177" s="26"/>
      <c r="D177" s="26"/>
      <c r="E177" s="3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</row>
    <row r="178" ht="14.25" customHeight="1">
      <c r="A178" s="26"/>
      <c r="B178" s="26"/>
      <c r="C178" s="26"/>
      <c r="D178" s="26"/>
      <c r="E178" s="3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</row>
    <row r="179" ht="14.25" customHeight="1">
      <c r="A179" s="26"/>
      <c r="B179" s="26"/>
      <c r="C179" s="26"/>
      <c r="D179" s="26"/>
      <c r="E179" s="3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</row>
    <row r="180" ht="14.25" customHeight="1">
      <c r="A180" s="26"/>
      <c r="B180" s="26"/>
      <c r="C180" s="26"/>
      <c r="D180" s="26"/>
      <c r="E180" s="3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</row>
    <row r="181" ht="14.25" customHeight="1">
      <c r="A181" s="26"/>
      <c r="B181" s="26"/>
      <c r="C181" s="26"/>
      <c r="D181" s="26"/>
      <c r="E181" s="3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</row>
    <row r="182" ht="14.25" customHeight="1">
      <c r="A182" s="26"/>
      <c r="B182" s="26"/>
      <c r="C182" s="26"/>
      <c r="D182" s="26"/>
      <c r="E182" s="3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</row>
    <row r="183" ht="14.25" customHeight="1">
      <c r="A183" s="26"/>
      <c r="B183" s="26"/>
      <c r="C183" s="26"/>
      <c r="D183" s="26"/>
      <c r="E183" s="3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</row>
    <row r="184" ht="14.25" customHeight="1">
      <c r="A184" s="26"/>
      <c r="B184" s="26"/>
      <c r="C184" s="26"/>
      <c r="D184" s="26"/>
      <c r="E184" s="3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</row>
    <row r="185" ht="14.25" customHeight="1">
      <c r="A185" s="26"/>
      <c r="B185" s="26"/>
      <c r="C185" s="26"/>
      <c r="D185" s="26"/>
      <c r="E185" s="3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</row>
    <row r="186" ht="14.25" customHeight="1">
      <c r="A186" s="26"/>
      <c r="B186" s="26"/>
      <c r="C186" s="26"/>
      <c r="D186" s="26"/>
      <c r="E186" s="3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</row>
    <row r="187" ht="14.25" customHeight="1">
      <c r="A187" s="26"/>
      <c r="B187" s="26"/>
      <c r="C187" s="26"/>
      <c r="D187" s="26"/>
      <c r="E187" s="3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</row>
    <row r="188" ht="14.25" customHeight="1">
      <c r="A188" s="26"/>
      <c r="B188" s="26"/>
      <c r="C188" s="26"/>
      <c r="D188" s="26"/>
      <c r="E188" s="3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</row>
    <row r="189" ht="14.25" customHeight="1">
      <c r="A189" s="26"/>
      <c r="B189" s="26"/>
      <c r="C189" s="26"/>
      <c r="D189" s="26"/>
      <c r="E189" s="3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</row>
    <row r="190" ht="14.25" customHeight="1">
      <c r="A190" s="26"/>
      <c r="B190" s="26"/>
      <c r="C190" s="26"/>
      <c r="D190" s="26"/>
      <c r="E190" s="3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</row>
    <row r="191" ht="14.25" customHeight="1">
      <c r="A191" s="26"/>
      <c r="B191" s="26"/>
      <c r="C191" s="26"/>
      <c r="D191" s="26"/>
      <c r="E191" s="3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</row>
    <row r="192" ht="14.25" customHeight="1">
      <c r="A192" s="26"/>
      <c r="B192" s="26"/>
      <c r="C192" s="26"/>
      <c r="D192" s="26"/>
      <c r="E192" s="3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</row>
    <row r="193" ht="14.25" customHeight="1">
      <c r="A193" s="26"/>
      <c r="B193" s="26"/>
      <c r="C193" s="26"/>
      <c r="D193" s="26"/>
      <c r="E193" s="3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</row>
    <row r="194" ht="14.25" customHeight="1">
      <c r="A194" s="26"/>
      <c r="B194" s="26"/>
      <c r="C194" s="26"/>
      <c r="D194" s="26"/>
      <c r="E194" s="3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</row>
    <row r="195" ht="14.25" customHeight="1">
      <c r="A195" s="26"/>
      <c r="B195" s="26"/>
      <c r="C195" s="26"/>
      <c r="D195" s="26"/>
      <c r="E195" s="3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</row>
    <row r="196" ht="14.25" customHeight="1">
      <c r="A196" s="26"/>
      <c r="B196" s="26"/>
      <c r="C196" s="26"/>
      <c r="D196" s="26"/>
      <c r="E196" s="3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 ht="14.25" customHeight="1">
      <c r="A197" s="26"/>
      <c r="B197" s="26"/>
      <c r="C197" s="26"/>
      <c r="D197" s="26"/>
      <c r="E197" s="3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</row>
    <row r="198" ht="14.25" customHeight="1">
      <c r="A198" s="26"/>
      <c r="B198" s="26"/>
      <c r="C198" s="26"/>
      <c r="D198" s="26"/>
      <c r="E198" s="3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 ht="14.25" customHeight="1">
      <c r="A199" s="26"/>
      <c r="B199" s="26"/>
      <c r="C199" s="26"/>
      <c r="D199" s="26"/>
      <c r="E199" s="3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</row>
    <row r="200" ht="14.25" customHeight="1">
      <c r="A200" s="26"/>
      <c r="B200" s="26"/>
      <c r="C200" s="26"/>
      <c r="D200" s="26"/>
      <c r="E200" s="3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</row>
    <row r="201" ht="14.25" customHeight="1">
      <c r="A201" s="26"/>
      <c r="B201" s="26"/>
      <c r="C201" s="26"/>
      <c r="D201" s="26"/>
      <c r="E201" s="3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</row>
    <row r="202" ht="14.25" customHeight="1">
      <c r="A202" s="26"/>
      <c r="B202" s="26"/>
      <c r="C202" s="26"/>
      <c r="D202" s="26"/>
      <c r="E202" s="3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</row>
    <row r="203" ht="14.25" customHeight="1">
      <c r="A203" s="26"/>
      <c r="B203" s="26"/>
      <c r="C203" s="26"/>
      <c r="D203" s="26"/>
      <c r="E203" s="3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</row>
    <row r="204" ht="14.25" customHeight="1">
      <c r="A204" s="26"/>
      <c r="B204" s="26"/>
      <c r="C204" s="26"/>
      <c r="D204" s="26"/>
      <c r="E204" s="3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</row>
    <row r="205" ht="14.25" customHeight="1">
      <c r="A205" s="26"/>
      <c r="B205" s="26"/>
      <c r="C205" s="26"/>
      <c r="D205" s="26"/>
      <c r="E205" s="3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</row>
    <row r="206" ht="14.25" customHeight="1">
      <c r="A206" s="26"/>
      <c r="B206" s="26"/>
      <c r="C206" s="26"/>
      <c r="D206" s="26"/>
      <c r="E206" s="3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</row>
    <row r="207" ht="14.25" customHeight="1">
      <c r="A207" s="26"/>
      <c r="B207" s="26"/>
      <c r="C207" s="26"/>
      <c r="D207" s="26"/>
      <c r="E207" s="3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</row>
    <row r="208" ht="14.25" customHeight="1">
      <c r="A208" s="26"/>
      <c r="B208" s="26"/>
      <c r="C208" s="26"/>
      <c r="D208" s="26"/>
      <c r="E208" s="3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</row>
    <row r="209" ht="14.25" customHeight="1">
      <c r="A209" s="26"/>
      <c r="B209" s="26"/>
      <c r="C209" s="26"/>
      <c r="D209" s="26"/>
      <c r="E209" s="3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</row>
    <row r="210" ht="14.25" customHeight="1">
      <c r="A210" s="26"/>
      <c r="B210" s="26"/>
      <c r="C210" s="26"/>
      <c r="D210" s="26"/>
      <c r="E210" s="3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</row>
    <row r="211" ht="14.25" customHeight="1">
      <c r="A211" s="26"/>
      <c r="B211" s="26"/>
      <c r="C211" s="26"/>
      <c r="D211" s="26"/>
      <c r="E211" s="3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</row>
    <row r="212" ht="14.25" customHeight="1">
      <c r="A212" s="26"/>
      <c r="B212" s="26"/>
      <c r="C212" s="26"/>
      <c r="D212" s="26"/>
      <c r="E212" s="3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</row>
    <row r="213" ht="14.25" customHeight="1">
      <c r="A213" s="26"/>
      <c r="B213" s="26"/>
      <c r="C213" s="26"/>
      <c r="D213" s="26"/>
      <c r="E213" s="3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</row>
    <row r="214" ht="14.25" customHeight="1">
      <c r="A214" s="26"/>
      <c r="B214" s="26"/>
      <c r="C214" s="26"/>
      <c r="D214" s="26"/>
      <c r="E214" s="3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</row>
    <row r="215" ht="14.25" customHeight="1">
      <c r="A215" s="26"/>
      <c r="B215" s="26"/>
      <c r="C215" s="26"/>
      <c r="D215" s="26"/>
      <c r="E215" s="3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</row>
    <row r="216" ht="14.25" customHeight="1">
      <c r="A216" s="26"/>
      <c r="B216" s="26"/>
      <c r="C216" s="26"/>
      <c r="D216" s="26"/>
      <c r="E216" s="3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</row>
    <row r="217" ht="14.25" customHeight="1">
      <c r="A217" s="26"/>
      <c r="B217" s="26"/>
      <c r="C217" s="26"/>
      <c r="D217" s="26"/>
      <c r="E217" s="3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</row>
    <row r="218" ht="14.25" customHeight="1">
      <c r="A218" s="26"/>
      <c r="B218" s="26"/>
      <c r="C218" s="26"/>
      <c r="D218" s="26"/>
      <c r="E218" s="3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</row>
    <row r="219" ht="14.25" customHeight="1">
      <c r="A219" s="26"/>
      <c r="B219" s="26"/>
      <c r="C219" s="26"/>
      <c r="D219" s="26"/>
      <c r="E219" s="3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</row>
    <row r="220" ht="14.25" customHeight="1">
      <c r="A220" s="26"/>
      <c r="B220" s="26"/>
      <c r="C220" s="26"/>
      <c r="D220" s="26"/>
      <c r="E220" s="3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</row>
    <row r="221" ht="14.25" customHeight="1">
      <c r="A221" s="26"/>
      <c r="B221" s="26"/>
      <c r="C221" s="26"/>
      <c r="D221" s="26"/>
      <c r="E221" s="3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</row>
    <row r="222" ht="14.25" customHeight="1">
      <c r="A222" s="26"/>
      <c r="B222" s="26"/>
      <c r="C222" s="26"/>
      <c r="D222" s="26"/>
      <c r="E222" s="3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</row>
    <row r="223" ht="14.25" customHeight="1">
      <c r="A223" s="26"/>
      <c r="B223" s="26"/>
      <c r="C223" s="26"/>
      <c r="D223" s="26"/>
      <c r="E223" s="3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</row>
    <row r="224" ht="14.25" customHeight="1">
      <c r="A224" s="26"/>
      <c r="B224" s="26"/>
      <c r="C224" s="26"/>
      <c r="D224" s="26"/>
      <c r="E224" s="3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</row>
    <row r="225" ht="14.25" customHeight="1">
      <c r="A225" s="26"/>
      <c r="B225" s="26"/>
      <c r="C225" s="26"/>
      <c r="D225" s="26"/>
      <c r="E225" s="3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</row>
    <row r="226" ht="14.25" customHeight="1">
      <c r="A226" s="26"/>
      <c r="B226" s="26"/>
      <c r="C226" s="26"/>
      <c r="D226" s="26"/>
      <c r="E226" s="3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</row>
    <row r="227" ht="14.25" customHeight="1">
      <c r="A227" s="26"/>
      <c r="B227" s="26"/>
      <c r="C227" s="26"/>
      <c r="D227" s="26"/>
      <c r="E227" s="3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</row>
    <row r="228" ht="14.25" customHeight="1">
      <c r="A228" s="26"/>
      <c r="B228" s="26"/>
      <c r="C228" s="26"/>
      <c r="D228" s="26"/>
      <c r="E228" s="3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</row>
    <row r="229" ht="14.25" customHeight="1">
      <c r="A229" s="26"/>
      <c r="B229" s="26"/>
      <c r="C229" s="26"/>
      <c r="D229" s="26"/>
      <c r="E229" s="3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</row>
    <row r="230" ht="14.25" customHeight="1">
      <c r="A230" s="26"/>
      <c r="B230" s="26"/>
      <c r="C230" s="26"/>
      <c r="D230" s="26"/>
      <c r="E230" s="3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</row>
    <row r="231" ht="14.25" customHeight="1">
      <c r="A231" s="26"/>
      <c r="B231" s="26"/>
      <c r="C231" s="26"/>
      <c r="D231" s="26"/>
      <c r="E231" s="3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</row>
    <row r="232" ht="14.25" customHeight="1">
      <c r="A232" s="26"/>
      <c r="B232" s="26"/>
      <c r="C232" s="26"/>
      <c r="D232" s="26"/>
      <c r="E232" s="3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</row>
    <row r="233" ht="14.25" customHeight="1">
      <c r="A233" s="26"/>
      <c r="B233" s="26"/>
      <c r="C233" s="26"/>
      <c r="D233" s="26"/>
      <c r="E233" s="3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</row>
    <row r="234" ht="14.25" customHeight="1">
      <c r="A234" s="26"/>
      <c r="B234" s="26"/>
      <c r="C234" s="26"/>
      <c r="D234" s="26"/>
      <c r="E234" s="3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</row>
    <row r="235" ht="14.25" customHeight="1">
      <c r="A235" s="26"/>
      <c r="B235" s="26"/>
      <c r="C235" s="26"/>
      <c r="D235" s="26"/>
      <c r="E235" s="3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</row>
    <row r="236" ht="14.25" customHeight="1">
      <c r="A236" s="26"/>
      <c r="B236" s="26"/>
      <c r="C236" s="26"/>
      <c r="D236" s="26"/>
      <c r="E236" s="3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</row>
    <row r="237" ht="14.25" customHeight="1">
      <c r="A237" s="26"/>
      <c r="B237" s="26"/>
      <c r="C237" s="26"/>
      <c r="D237" s="26"/>
      <c r="E237" s="3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</row>
    <row r="238" ht="14.25" customHeight="1">
      <c r="A238" s="26"/>
      <c r="B238" s="26"/>
      <c r="C238" s="26"/>
      <c r="D238" s="26"/>
      <c r="E238" s="3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</row>
    <row r="239" ht="14.25" customHeight="1">
      <c r="A239" s="26"/>
      <c r="B239" s="26"/>
      <c r="C239" s="26"/>
      <c r="D239" s="26"/>
      <c r="E239" s="3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</row>
    <row r="240" ht="14.25" customHeight="1">
      <c r="A240" s="26"/>
      <c r="B240" s="26"/>
      <c r="C240" s="26"/>
      <c r="D240" s="26"/>
      <c r="E240" s="3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</row>
    <row r="241" ht="14.25" customHeight="1">
      <c r="A241" s="26"/>
      <c r="B241" s="26"/>
      <c r="C241" s="26"/>
      <c r="D241" s="26"/>
      <c r="E241" s="3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</row>
    <row r="242" ht="14.25" customHeight="1">
      <c r="A242" s="26"/>
      <c r="B242" s="26"/>
      <c r="C242" s="26"/>
      <c r="D242" s="26"/>
      <c r="E242" s="3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</row>
    <row r="243" ht="14.25" customHeight="1">
      <c r="A243" s="26"/>
      <c r="B243" s="26"/>
      <c r="C243" s="26"/>
      <c r="D243" s="26"/>
      <c r="E243" s="3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</row>
    <row r="244" ht="14.25" customHeight="1">
      <c r="A244" s="26"/>
      <c r="B244" s="26"/>
      <c r="C244" s="26"/>
      <c r="D244" s="26"/>
      <c r="E244" s="3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</row>
    <row r="245" ht="14.25" customHeight="1">
      <c r="A245" s="26"/>
      <c r="B245" s="26"/>
      <c r="C245" s="26"/>
      <c r="D245" s="26"/>
      <c r="E245" s="3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</row>
    <row r="246" ht="14.25" customHeight="1">
      <c r="A246" s="26"/>
      <c r="B246" s="26"/>
      <c r="C246" s="26"/>
      <c r="D246" s="26"/>
      <c r="E246" s="3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</row>
    <row r="247" ht="14.25" customHeight="1">
      <c r="A247" s="26"/>
      <c r="B247" s="26"/>
      <c r="C247" s="26"/>
      <c r="D247" s="26"/>
      <c r="E247" s="3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</row>
    <row r="248" ht="14.25" customHeight="1">
      <c r="A248" s="26"/>
      <c r="B248" s="26"/>
      <c r="C248" s="26"/>
      <c r="D248" s="26"/>
      <c r="E248" s="3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</row>
    <row r="249" ht="14.25" customHeight="1">
      <c r="A249" s="26"/>
      <c r="B249" s="26"/>
      <c r="C249" s="26"/>
      <c r="D249" s="26"/>
      <c r="E249" s="3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</row>
    <row r="250" ht="14.25" customHeight="1">
      <c r="A250" s="26"/>
      <c r="B250" s="26"/>
      <c r="C250" s="26"/>
      <c r="D250" s="26"/>
      <c r="E250" s="3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</row>
    <row r="251" ht="14.25" customHeight="1">
      <c r="A251" s="26"/>
      <c r="B251" s="26"/>
      <c r="C251" s="26"/>
      <c r="D251" s="26"/>
      <c r="E251" s="3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</row>
    <row r="252" ht="14.25" customHeight="1">
      <c r="A252" s="26"/>
      <c r="B252" s="26"/>
      <c r="C252" s="26"/>
      <c r="D252" s="26"/>
      <c r="E252" s="3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</row>
    <row r="253" ht="14.25" customHeight="1">
      <c r="A253" s="26"/>
      <c r="B253" s="26"/>
      <c r="C253" s="26"/>
      <c r="D253" s="26"/>
      <c r="E253" s="3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</row>
    <row r="254" ht="14.25" customHeight="1">
      <c r="A254" s="26"/>
      <c r="B254" s="26"/>
      <c r="C254" s="26"/>
      <c r="D254" s="26"/>
      <c r="E254" s="3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</row>
    <row r="255" ht="14.25" customHeight="1">
      <c r="A255" s="26"/>
      <c r="B255" s="26"/>
      <c r="C255" s="26"/>
      <c r="D255" s="26"/>
      <c r="E255" s="3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</row>
    <row r="256" ht="14.25" customHeight="1">
      <c r="A256" s="26"/>
      <c r="B256" s="26"/>
      <c r="C256" s="26"/>
      <c r="D256" s="26"/>
      <c r="E256" s="3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</row>
    <row r="257" ht="14.25" customHeight="1">
      <c r="A257" s="26"/>
      <c r="B257" s="26"/>
      <c r="C257" s="26"/>
      <c r="D257" s="26"/>
      <c r="E257" s="3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</row>
    <row r="258" ht="14.25" customHeight="1">
      <c r="A258" s="26"/>
      <c r="B258" s="26"/>
      <c r="C258" s="26"/>
      <c r="D258" s="26"/>
      <c r="E258" s="3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</row>
    <row r="259" ht="14.25" customHeight="1">
      <c r="A259" s="26"/>
      <c r="B259" s="26"/>
      <c r="C259" s="26"/>
      <c r="D259" s="26"/>
      <c r="E259" s="3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</row>
    <row r="260" ht="14.25" customHeight="1">
      <c r="A260" s="26"/>
      <c r="B260" s="26"/>
      <c r="C260" s="26"/>
      <c r="D260" s="26"/>
      <c r="E260" s="3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</row>
    <row r="261" ht="14.25" customHeight="1">
      <c r="A261" s="26"/>
      <c r="B261" s="26"/>
      <c r="C261" s="26"/>
      <c r="D261" s="26"/>
      <c r="E261" s="3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</row>
    <row r="262" ht="14.25" customHeight="1">
      <c r="A262" s="26"/>
      <c r="B262" s="26"/>
      <c r="C262" s="26"/>
      <c r="D262" s="26"/>
      <c r="E262" s="3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</row>
    <row r="263" ht="14.25" customHeight="1">
      <c r="A263" s="26"/>
      <c r="B263" s="26"/>
      <c r="C263" s="26"/>
      <c r="D263" s="26"/>
      <c r="E263" s="3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</row>
    <row r="264" ht="14.25" customHeight="1">
      <c r="A264" s="26"/>
      <c r="B264" s="26"/>
      <c r="C264" s="26"/>
      <c r="D264" s="26"/>
      <c r="E264" s="3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</row>
    <row r="265" ht="14.25" customHeight="1">
      <c r="A265" s="26"/>
      <c r="B265" s="26"/>
      <c r="C265" s="26"/>
      <c r="D265" s="26"/>
      <c r="E265" s="3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</row>
    <row r="266" ht="14.25" customHeight="1">
      <c r="A266" s="26"/>
      <c r="B266" s="26"/>
      <c r="C266" s="26"/>
      <c r="D266" s="26"/>
      <c r="E266" s="3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</row>
    <row r="267" ht="14.25" customHeight="1">
      <c r="A267" s="26"/>
      <c r="B267" s="26"/>
      <c r="C267" s="26"/>
      <c r="D267" s="26"/>
      <c r="E267" s="3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</row>
    <row r="268" ht="14.25" customHeight="1">
      <c r="A268" s="26"/>
      <c r="B268" s="26"/>
      <c r="C268" s="26"/>
      <c r="D268" s="26"/>
      <c r="E268" s="3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</row>
    <row r="269" ht="14.25" customHeight="1">
      <c r="A269" s="26"/>
      <c r="B269" s="26"/>
      <c r="C269" s="26"/>
      <c r="D269" s="26"/>
      <c r="E269" s="3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</row>
    <row r="270" ht="14.25" customHeight="1">
      <c r="A270" s="26"/>
      <c r="B270" s="26"/>
      <c r="C270" s="26"/>
      <c r="D270" s="26"/>
      <c r="E270" s="3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</row>
    <row r="271" ht="14.25" customHeight="1">
      <c r="A271" s="26"/>
      <c r="B271" s="26"/>
      <c r="C271" s="26"/>
      <c r="D271" s="26"/>
      <c r="E271" s="3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</row>
    <row r="272" ht="14.25" customHeight="1">
      <c r="A272" s="26"/>
      <c r="B272" s="26"/>
      <c r="C272" s="26"/>
      <c r="D272" s="26"/>
      <c r="E272" s="3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</row>
    <row r="273" ht="14.25" customHeight="1">
      <c r="A273" s="26"/>
      <c r="B273" s="26"/>
      <c r="C273" s="26"/>
      <c r="D273" s="26"/>
      <c r="E273" s="3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</row>
    <row r="274" ht="14.25" customHeight="1">
      <c r="A274" s="26"/>
      <c r="B274" s="26"/>
      <c r="C274" s="26"/>
      <c r="D274" s="26"/>
      <c r="E274" s="3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</row>
    <row r="275" ht="14.25" customHeight="1">
      <c r="A275" s="26"/>
      <c r="B275" s="26"/>
      <c r="C275" s="26"/>
      <c r="D275" s="26"/>
      <c r="E275" s="3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</row>
    <row r="276" ht="14.25" customHeight="1">
      <c r="A276" s="26"/>
      <c r="B276" s="26"/>
      <c r="C276" s="26"/>
      <c r="D276" s="26"/>
      <c r="E276" s="3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</row>
    <row r="277" ht="14.25" customHeight="1">
      <c r="A277" s="26"/>
      <c r="B277" s="26"/>
      <c r="C277" s="26"/>
      <c r="D277" s="26"/>
      <c r="E277" s="3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</row>
    <row r="278" ht="14.25" customHeight="1">
      <c r="A278" s="26"/>
      <c r="B278" s="26"/>
      <c r="C278" s="26"/>
      <c r="D278" s="26"/>
      <c r="E278" s="3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</row>
    <row r="279" ht="14.25" customHeight="1">
      <c r="A279" s="26"/>
      <c r="B279" s="26"/>
      <c r="C279" s="26"/>
      <c r="D279" s="26"/>
      <c r="E279" s="3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</row>
    <row r="280" ht="14.25" customHeight="1">
      <c r="A280" s="26"/>
      <c r="B280" s="26"/>
      <c r="C280" s="26"/>
      <c r="D280" s="26"/>
      <c r="E280" s="3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</row>
    <row r="281" ht="14.25" customHeight="1">
      <c r="A281" s="26"/>
      <c r="B281" s="26"/>
      <c r="C281" s="26"/>
      <c r="D281" s="26"/>
      <c r="E281" s="3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</row>
    <row r="282" ht="14.25" customHeight="1">
      <c r="A282" s="26"/>
      <c r="B282" s="26"/>
      <c r="C282" s="26"/>
      <c r="D282" s="26"/>
      <c r="E282" s="3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</row>
    <row r="283" ht="14.25" customHeight="1">
      <c r="A283" s="26"/>
      <c r="B283" s="26"/>
      <c r="C283" s="26"/>
      <c r="D283" s="26"/>
      <c r="E283" s="3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</row>
    <row r="284" ht="14.25" customHeight="1">
      <c r="A284" s="26"/>
      <c r="B284" s="26"/>
      <c r="C284" s="26"/>
      <c r="D284" s="26"/>
      <c r="E284" s="3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</row>
    <row r="285" ht="14.25" customHeight="1">
      <c r="A285" s="26"/>
      <c r="B285" s="26"/>
      <c r="C285" s="26"/>
      <c r="D285" s="26"/>
      <c r="E285" s="3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</row>
    <row r="286" ht="14.25" customHeight="1">
      <c r="A286" s="26"/>
      <c r="B286" s="26"/>
      <c r="C286" s="26"/>
      <c r="D286" s="26"/>
      <c r="E286" s="3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</row>
    <row r="287" ht="14.25" customHeight="1">
      <c r="A287" s="26"/>
      <c r="B287" s="26"/>
      <c r="C287" s="26"/>
      <c r="D287" s="26"/>
      <c r="E287" s="3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</row>
    <row r="288" ht="14.25" customHeight="1">
      <c r="A288" s="26"/>
      <c r="B288" s="26"/>
      <c r="C288" s="26"/>
      <c r="D288" s="26"/>
      <c r="E288" s="3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</row>
    <row r="289" ht="14.25" customHeight="1">
      <c r="A289" s="26"/>
      <c r="B289" s="26"/>
      <c r="C289" s="26"/>
      <c r="D289" s="26"/>
      <c r="E289" s="3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</row>
    <row r="290" ht="14.25" customHeight="1">
      <c r="A290" s="26"/>
      <c r="B290" s="26"/>
      <c r="C290" s="26"/>
      <c r="D290" s="26"/>
      <c r="E290" s="3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</row>
    <row r="291" ht="14.25" customHeight="1">
      <c r="A291" s="26"/>
      <c r="B291" s="26"/>
      <c r="C291" s="26"/>
      <c r="D291" s="26"/>
      <c r="E291" s="3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</row>
    <row r="292" ht="14.25" customHeight="1">
      <c r="A292" s="26"/>
      <c r="B292" s="26"/>
      <c r="C292" s="26"/>
      <c r="D292" s="26"/>
      <c r="E292" s="3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</row>
    <row r="293" ht="14.25" customHeight="1">
      <c r="A293" s="26"/>
      <c r="B293" s="26"/>
      <c r="C293" s="26"/>
      <c r="D293" s="26"/>
      <c r="E293" s="3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</row>
    <row r="294" ht="14.25" customHeight="1">
      <c r="A294" s="26"/>
      <c r="B294" s="26"/>
      <c r="C294" s="26"/>
      <c r="D294" s="26"/>
      <c r="E294" s="3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</row>
    <row r="295" ht="14.25" customHeight="1">
      <c r="A295" s="26"/>
      <c r="B295" s="26"/>
      <c r="C295" s="26"/>
      <c r="D295" s="26"/>
      <c r="E295" s="3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</row>
    <row r="296" ht="14.25" customHeight="1">
      <c r="A296" s="26"/>
      <c r="B296" s="26"/>
      <c r="C296" s="26"/>
      <c r="D296" s="26"/>
      <c r="E296" s="3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</row>
    <row r="297" ht="14.25" customHeight="1">
      <c r="A297" s="26"/>
      <c r="B297" s="26"/>
      <c r="C297" s="26"/>
      <c r="D297" s="26"/>
      <c r="E297" s="3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</row>
    <row r="298" ht="14.25" customHeight="1">
      <c r="A298" s="26"/>
      <c r="B298" s="26"/>
      <c r="C298" s="26"/>
      <c r="D298" s="26"/>
      <c r="E298" s="3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</row>
    <row r="299" ht="14.25" customHeight="1">
      <c r="A299" s="26"/>
      <c r="B299" s="26"/>
      <c r="C299" s="26"/>
      <c r="D299" s="26"/>
      <c r="E299" s="3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</row>
    <row r="300" ht="14.25" customHeight="1">
      <c r="A300" s="26"/>
      <c r="B300" s="26"/>
      <c r="C300" s="26"/>
      <c r="D300" s="26"/>
      <c r="E300" s="3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</row>
    <row r="301" ht="14.25" customHeight="1">
      <c r="A301" s="26"/>
      <c r="B301" s="26"/>
      <c r="C301" s="26"/>
      <c r="D301" s="26"/>
      <c r="E301" s="3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</row>
    <row r="302" ht="14.25" customHeight="1">
      <c r="A302" s="26"/>
      <c r="B302" s="26"/>
      <c r="C302" s="26"/>
      <c r="D302" s="26"/>
      <c r="E302" s="3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</row>
    <row r="303" ht="14.25" customHeight="1">
      <c r="A303" s="26"/>
      <c r="B303" s="26"/>
      <c r="C303" s="26"/>
      <c r="D303" s="26"/>
      <c r="E303" s="3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</row>
    <row r="304" ht="14.25" customHeight="1">
      <c r="A304" s="26"/>
      <c r="B304" s="26"/>
      <c r="C304" s="26"/>
      <c r="D304" s="26"/>
      <c r="E304" s="3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</row>
    <row r="305" ht="14.25" customHeight="1">
      <c r="A305" s="26"/>
      <c r="B305" s="26"/>
      <c r="C305" s="26"/>
      <c r="D305" s="26"/>
      <c r="E305" s="3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</row>
    <row r="306" ht="14.25" customHeight="1">
      <c r="A306" s="26"/>
      <c r="B306" s="26"/>
      <c r="C306" s="26"/>
      <c r="D306" s="26"/>
      <c r="E306" s="3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</row>
    <row r="307" ht="14.25" customHeight="1">
      <c r="A307" s="26"/>
      <c r="B307" s="26"/>
      <c r="C307" s="26"/>
      <c r="D307" s="26"/>
      <c r="E307" s="3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</row>
    <row r="308" ht="14.25" customHeight="1">
      <c r="A308" s="26"/>
      <c r="B308" s="26"/>
      <c r="C308" s="26"/>
      <c r="D308" s="26"/>
      <c r="E308" s="3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</row>
    <row r="309" ht="14.25" customHeight="1">
      <c r="A309" s="26"/>
      <c r="B309" s="26"/>
      <c r="C309" s="26"/>
      <c r="D309" s="26"/>
      <c r="E309" s="3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</row>
    <row r="310" ht="14.25" customHeight="1">
      <c r="A310" s="26"/>
      <c r="B310" s="26"/>
      <c r="C310" s="26"/>
      <c r="D310" s="26"/>
      <c r="E310" s="3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</row>
    <row r="311" ht="14.25" customHeight="1">
      <c r="A311" s="26"/>
      <c r="B311" s="26"/>
      <c r="C311" s="26"/>
      <c r="D311" s="26"/>
      <c r="E311" s="3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</row>
    <row r="312" ht="14.25" customHeight="1">
      <c r="A312" s="26"/>
      <c r="B312" s="26"/>
      <c r="C312" s="26"/>
      <c r="D312" s="26"/>
      <c r="E312" s="3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</row>
    <row r="313" ht="14.25" customHeight="1">
      <c r="A313" s="26"/>
      <c r="B313" s="26"/>
      <c r="C313" s="26"/>
      <c r="D313" s="26"/>
      <c r="E313" s="3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</row>
    <row r="314" ht="14.25" customHeight="1">
      <c r="A314" s="26"/>
      <c r="B314" s="26"/>
      <c r="C314" s="26"/>
      <c r="D314" s="26"/>
      <c r="E314" s="3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</row>
    <row r="315" ht="14.25" customHeight="1">
      <c r="A315" s="26"/>
      <c r="B315" s="26"/>
      <c r="C315" s="26"/>
      <c r="D315" s="26"/>
      <c r="E315" s="3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</row>
    <row r="316" ht="14.25" customHeight="1">
      <c r="A316" s="26"/>
      <c r="B316" s="26"/>
      <c r="C316" s="26"/>
      <c r="D316" s="26"/>
      <c r="E316" s="3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</row>
    <row r="317" ht="14.25" customHeight="1">
      <c r="A317" s="26"/>
      <c r="B317" s="26"/>
      <c r="C317" s="26"/>
      <c r="D317" s="26"/>
      <c r="E317" s="3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</row>
    <row r="318" ht="14.25" customHeight="1">
      <c r="A318" s="26"/>
      <c r="B318" s="26"/>
      <c r="C318" s="26"/>
      <c r="D318" s="26"/>
      <c r="E318" s="3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</row>
    <row r="319" ht="14.25" customHeight="1">
      <c r="A319" s="26"/>
      <c r="B319" s="26"/>
      <c r="C319" s="26"/>
      <c r="D319" s="26"/>
      <c r="E319" s="3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</row>
    <row r="320" ht="14.25" customHeight="1">
      <c r="A320" s="26"/>
      <c r="B320" s="26"/>
      <c r="C320" s="26"/>
      <c r="D320" s="26"/>
      <c r="E320" s="3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</row>
    <row r="321" ht="14.25" customHeight="1">
      <c r="A321" s="26"/>
      <c r="B321" s="26"/>
      <c r="C321" s="26"/>
      <c r="D321" s="26"/>
      <c r="E321" s="3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</row>
    <row r="322" ht="14.25" customHeight="1">
      <c r="A322" s="26"/>
      <c r="B322" s="26"/>
      <c r="C322" s="26"/>
      <c r="D322" s="26"/>
      <c r="E322" s="3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</row>
    <row r="323" ht="14.25" customHeight="1">
      <c r="A323" s="26"/>
      <c r="B323" s="26"/>
      <c r="C323" s="26"/>
      <c r="D323" s="26"/>
      <c r="E323" s="3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</row>
    <row r="324" ht="14.25" customHeight="1">
      <c r="A324" s="26"/>
      <c r="B324" s="26"/>
      <c r="C324" s="26"/>
      <c r="D324" s="26"/>
      <c r="E324" s="3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</row>
    <row r="325" ht="14.25" customHeight="1">
      <c r="A325" s="26"/>
      <c r="B325" s="26"/>
      <c r="C325" s="26"/>
      <c r="D325" s="26"/>
      <c r="E325" s="3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</row>
    <row r="326" ht="14.25" customHeight="1">
      <c r="A326" s="26"/>
      <c r="B326" s="26"/>
      <c r="C326" s="26"/>
      <c r="D326" s="26"/>
      <c r="E326" s="3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</row>
    <row r="327" ht="14.25" customHeight="1">
      <c r="A327" s="26"/>
      <c r="B327" s="26"/>
      <c r="C327" s="26"/>
      <c r="D327" s="26"/>
      <c r="E327" s="3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</row>
    <row r="328" ht="14.25" customHeight="1">
      <c r="A328" s="26"/>
      <c r="B328" s="26"/>
      <c r="C328" s="26"/>
      <c r="D328" s="26"/>
      <c r="E328" s="3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</row>
    <row r="329" ht="14.25" customHeight="1">
      <c r="A329" s="26"/>
      <c r="B329" s="26"/>
      <c r="C329" s="26"/>
      <c r="D329" s="26"/>
      <c r="E329" s="3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</row>
    <row r="330" ht="14.25" customHeight="1">
      <c r="A330" s="26"/>
      <c r="B330" s="26"/>
      <c r="C330" s="26"/>
      <c r="D330" s="26"/>
      <c r="E330" s="3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</row>
    <row r="331" ht="14.25" customHeight="1">
      <c r="A331" s="26"/>
      <c r="B331" s="26"/>
      <c r="C331" s="26"/>
      <c r="D331" s="26"/>
      <c r="E331" s="3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</row>
    <row r="332" ht="14.25" customHeight="1">
      <c r="A332" s="26"/>
      <c r="B332" s="26"/>
      <c r="C332" s="26"/>
      <c r="D332" s="26"/>
      <c r="E332" s="3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</row>
    <row r="333" ht="14.25" customHeight="1">
      <c r="A333" s="26"/>
      <c r="B333" s="26"/>
      <c r="C333" s="26"/>
      <c r="D333" s="26"/>
      <c r="E333" s="3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</row>
    <row r="334" ht="14.25" customHeight="1">
      <c r="A334" s="26"/>
      <c r="B334" s="26"/>
      <c r="C334" s="26"/>
      <c r="D334" s="26"/>
      <c r="E334" s="3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</row>
    <row r="335" ht="14.25" customHeight="1">
      <c r="A335" s="26"/>
      <c r="B335" s="26"/>
      <c r="C335" s="26"/>
      <c r="D335" s="26"/>
      <c r="E335" s="3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</row>
    <row r="336" ht="14.25" customHeight="1">
      <c r="A336" s="26"/>
      <c r="B336" s="26"/>
      <c r="C336" s="26"/>
      <c r="D336" s="26"/>
      <c r="E336" s="3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</row>
    <row r="337" ht="14.25" customHeight="1">
      <c r="A337" s="26"/>
      <c r="B337" s="26"/>
      <c r="C337" s="26"/>
      <c r="D337" s="26"/>
      <c r="E337" s="3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</row>
    <row r="338" ht="14.25" customHeight="1">
      <c r="A338" s="26"/>
      <c r="B338" s="26"/>
      <c r="C338" s="26"/>
      <c r="D338" s="26"/>
      <c r="E338" s="3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</row>
    <row r="339" ht="14.25" customHeight="1">
      <c r="A339" s="26"/>
      <c r="B339" s="26"/>
      <c r="C339" s="26"/>
      <c r="D339" s="26"/>
      <c r="E339" s="3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</row>
    <row r="340" ht="14.25" customHeight="1">
      <c r="A340" s="26"/>
      <c r="B340" s="26"/>
      <c r="C340" s="26"/>
      <c r="D340" s="26"/>
      <c r="E340" s="3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</row>
    <row r="341" ht="14.25" customHeight="1">
      <c r="A341" s="26"/>
      <c r="B341" s="26"/>
      <c r="C341" s="26"/>
      <c r="D341" s="26"/>
      <c r="E341" s="3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</row>
    <row r="342" ht="14.25" customHeight="1">
      <c r="A342" s="26"/>
      <c r="B342" s="26"/>
      <c r="C342" s="26"/>
      <c r="D342" s="26"/>
      <c r="E342" s="3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</row>
    <row r="343" ht="14.25" customHeight="1">
      <c r="A343" s="26"/>
      <c r="B343" s="26"/>
      <c r="C343" s="26"/>
      <c r="D343" s="26"/>
      <c r="E343" s="3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</row>
    <row r="344" ht="14.25" customHeight="1">
      <c r="A344" s="26"/>
      <c r="B344" s="26"/>
      <c r="C344" s="26"/>
      <c r="D344" s="26"/>
      <c r="E344" s="3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</row>
    <row r="345" ht="14.25" customHeight="1">
      <c r="A345" s="26"/>
      <c r="B345" s="26"/>
      <c r="C345" s="26"/>
      <c r="D345" s="26"/>
      <c r="E345" s="3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</row>
    <row r="346" ht="14.25" customHeight="1">
      <c r="A346" s="26"/>
      <c r="B346" s="26"/>
      <c r="C346" s="26"/>
      <c r="D346" s="26"/>
      <c r="E346" s="3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</row>
    <row r="347" ht="14.25" customHeight="1">
      <c r="A347" s="26"/>
      <c r="B347" s="26"/>
      <c r="C347" s="26"/>
      <c r="D347" s="26"/>
      <c r="E347" s="3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</row>
    <row r="348" ht="14.25" customHeight="1">
      <c r="A348" s="26"/>
      <c r="B348" s="26"/>
      <c r="C348" s="26"/>
      <c r="D348" s="26"/>
      <c r="E348" s="3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</row>
    <row r="349" ht="14.25" customHeight="1">
      <c r="A349" s="26"/>
      <c r="B349" s="26"/>
      <c r="C349" s="26"/>
      <c r="D349" s="26"/>
      <c r="E349" s="3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</row>
    <row r="350" ht="14.25" customHeight="1">
      <c r="A350" s="26"/>
      <c r="B350" s="26"/>
      <c r="C350" s="26"/>
      <c r="D350" s="26"/>
      <c r="E350" s="3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</row>
    <row r="351" ht="14.25" customHeight="1">
      <c r="A351" s="26"/>
      <c r="B351" s="26"/>
      <c r="C351" s="26"/>
      <c r="D351" s="26"/>
      <c r="E351" s="3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</row>
    <row r="352" ht="14.25" customHeight="1">
      <c r="A352" s="26"/>
      <c r="B352" s="26"/>
      <c r="C352" s="26"/>
      <c r="D352" s="26"/>
      <c r="E352" s="3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</row>
    <row r="353" ht="14.25" customHeight="1">
      <c r="A353" s="26"/>
      <c r="B353" s="26"/>
      <c r="C353" s="26"/>
      <c r="D353" s="26"/>
      <c r="E353" s="3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</row>
    <row r="354" ht="14.25" customHeight="1">
      <c r="A354" s="26"/>
      <c r="B354" s="26"/>
      <c r="C354" s="26"/>
      <c r="D354" s="26"/>
      <c r="E354" s="3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</row>
  </sheetData>
  <mergeCells count="103">
    <mergeCell ref="A25:A26"/>
    <mergeCell ref="B25:B26"/>
    <mergeCell ref="A28:A29"/>
    <mergeCell ref="B28:B29"/>
    <mergeCell ref="A31:A32"/>
    <mergeCell ref="B31:B32"/>
    <mergeCell ref="A34:A35"/>
    <mergeCell ref="A40:B41"/>
    <mergeCell ref="A43:A44"/>
    <mergeCell ref="B43:B44"/>
    <mergeCell ref="A46:A47"/>
    <mergeCell ref="B46:B47"/>
    <mergeCell ref="A49:A50"/>
    <mergeCell ref="B49:B50"/>
    <mergeCell ref="A55:B56"/>
    <mergeCell ref="A58:A59"/>
    <mergeCell ref="B58:B59"/>
    <mergeCell ref="A61:A62"/>
    <mergeCell ref="B61:B62"/>
    <mergeCell ref="F64:F65"/>
    <mergeCell ref="A67:B68"/>
    <mergeCell ref="A70:A71"/>
    <mergeCell ref="B70:B71"/>
    <mergeCell ref="A109:A110"/>
    <mergeCell ref="B109:B110"/>
    <mergeCell ref="A111:A112"/>
    <mergeCell ref="B111:B112"/>
    <mergeCell ref="B113:B114"/>
    <mergeCell ref="A113:A114"/>
    <mergeCell ref="A121:A122"/>
    <mergeCell ref="B121:B122"/>
    <mergeCell ref="A123:A124"/>
    <mergeCell ref="B123:B124"/>
    <mergeCell ref="A125:A126"/>
    <mergeCell ref="B125:B126"/>
    <mergeCell ref="A137:A138"/>
    <mergeCell ref="A139:A140"/>
    <mergeCell ref="A141:A142"/>
    <mergeCell ref="A145:A146"/>
    <mergeCell ref="A147:A148"/>
    <mergeCell ref="A149:A150"/>
    <mergeCell ref="A151:A152"/>
    <mergeCell ref="A153:A154"/>
    <mergeCell ref="B139:B140"/>
    <mergeCell ref="B141:B142"/>
    <mergeCell ref="B145:B146"/>
    <mergeCell ref="B147:B148"/>
    <mergeCell ref="B149:B150"/>
    <mergeCell ref="B151:B152"/>
    <mergeCell ref="B153:B154"/>
    <mergeCell ref="A127:A128"/>
    <mergeCell ref="B127:B128"/>
    <mergeCell ref="A133:A134"/>
    <mergeCell ref="B133:B134"/>
    <mergeCell ref="A135:A136"/>
    <mergeCell ref="B135:B136"/>
    <mergeCell ref="B137:B138"/>
    <mergeCell ref="A2:B3"/>
    <mergeCell ref="D2:J3"/>
    <mergeCell ref="L2:R3"/>
    <mergeCell ref="T2:Z3"/>
    <mergeCell ref="AB2:AH3"/>
    <mergeCell ref="A5:A6"/>
    <mergeCell ref="B5:B6"/>
    <mergeCell ref="N19:N20"/>
    <mergeCell ref="V19:V20"/>
    <mergeCell ref="AD19:AD20"/>
    <mergeCell ref="A22:B23"/>
    <mergeCell ref="D22:J23"/>
    <mergeCell ref="L22:R23"/>
    <mergeCell ref="T22:Z23"/>
    <mergeCell ref="AB22:AH23"/>
    <mergeCell ref="A8:A9"/>
    <mergeCell ref="B8:B9"/>
    <mergeCell ref="A11:A12"/>
    <mergeCell ref="B11:B12"/>
    <mergeCell ref="A14:A15"/>
    <mergeCell ref="B14:B15"/>
    <mergeCell ref="F19:F20"/>
    <mergeCell ref="T40:Z41"/>
    <mergeCell ref="AB40:AH41"/>
    <mergeCell ref="B34:B35"/>
    <mergeCell ref="F37:F38"/>
    <mergeCell ref="N37:N38"/>
    <mergeCell ref="V37:V38"/>
    <mergeCell ref="AD37:AD38"/>
    <mergeCell ref="D40:J41"/>
    <mergeCell ref="L40:R41"/>
    <mergeCell ref="N52:N53"/>
    <mergeCell ref="N64:N65"/>
    <mergeCell ref="V64:V65"/>
    <mergeCell ref="AD64:AD65"/>
    <mergeCell ref="D67:J68"/>
    <mergeCell ref="L67:R68"/>
    <mergeCell ref="T67:Z68"/>
    <mergeCell ref="AB67:AH68"/>
    <mergeCell ref="F52:F53"/>
    <mergeCell ref="V52:V53"/>
    <mergeCell ref="AD52:AD53"/>
    <mergeCell ref="D55:J56"/>
    <mergeCell ref="L55:R56"/>
    <mergeCell ref="T55:Z56"/>
    <mergeCell ref="AB55:AH5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min="2" max="2" width="4.29"/>
    <col customWidth="1" min="3" max="3" width="14.71"/>
    <col customWidth="1" min="4" max="4" width="9.86"/>
    <col customWidth="1" min="5" max="5" width="10.14"/>
    <col customWidth="1" min="6" max="6" width="13.29"/>
    <col customWidth="1" min="7" max="8" width="14.86"/>
    <col customWidth="1" min="9" max="9" width="11.43"/>
    <col customWidth="1" min="10" max="10" width="18.43"/>
    <col customWidth="1" min="11" max="11" width="4.86"/>
    <col customWidth="1" min="12" max="12" width="2.43"/>
    <col customWidth="1" min="13" max="13" width="5.71"/>
    <col customWidth="1" min="14" max="14" width="14.71"/>
    <col customWidth="1" min="15" max="15" width="12.14"/>
    <col customWidth="1" min="16" max="16" width="10.86"/>
    <col customWidth="1" min="17" max="19" width="13.29"/>
    <col customWidth="1" min="20" max="20" width="11.43"/>
    <col customWidth="1" min="21" max="21" width="18.43"/>
    <col customWidth="1" min="22" max="22" width="5.57"/>
    <col customWidth="1" min="23" max="24" width="5.71"/>
    <col customWidth="1" min="25" max="25" width="14.71"/>
    <col customWidth="1" min="26" max="26" width="12.14"/>
    <col customWidth="1" min="27" max="27" width="10.86"/>
    <col customWidth="1" min="28" max="30" width="13.29"/>
    <col customWidth="1" min="31" max="31" width="11.43"/>
    <col customWidth="1" min="32" max="32" width="14.86"/>
    <col customWidth="1" min="33" max="33" width="5.57"/>
    <col customWidth="1" min="34" max="34" width="5.71"/>
    <col customWidth="1" min="35" max="35" width="5.14"/>
    <col customWidth="1" min="36" max="36" width="14.71"/>
    <col customWidth="1" min="37" max="37" width="10.57"/>
    <col customWidth="1" min="38" max="38" width="12.14"/>
    <col customWidth="1" min="39" max="41" width="13.29"/>
    <col customWidth="1" min="42" max="42" width="10.86"/>
    <col customWidth="1" min="43" max="43" width="13.29"/>
    <col customWidth="1" min="44" max="44" width="12.43"/>
    <col customWidth="1" min="45" max="45" width="5.14"/>
    <col customWidth="1" min="46" max="46" width="5.57"/>
    <col customWidth="1" min="47" max="47" width="14.71"/>
    <col customWidth="1" min="48" max="48" width="9.86"/>
    <col customWidth="1" min="49" max="49" width="10.86"/>
    <col customWidth="1" min="50" max="52" width="13.29"/>
    <col customWidth="1" min="53" max="53" width="11.43"/>
    <col customWidth="1" min="54" max="54" width="10.86"/>
    <col customWidth="1" min="55" max="55" width="4.57"/>
    <col customWidth="1" min="56" max="56" width="6.57"/>
  </cols>
  <sheetData>
    <row r="1" ht="7.5" customHeight="1">
      <c r="A1" s="13"/>
      <c r="B1" s="13"/>
      <c r="C1" s="16">
        <v>0.03</v>
      </c>
      <c r="D1" s="13"/>
      <c r="E1" s="13"/>
      <c r="F1" s="13"/>
      <c r="G1" s="13"/>
      <c r="H1" s="13"/>
      <c r="I1" s="19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</row>
    <row r="2" ht="6.75" customHeight="1">
      <c r="A2" s="13"/>
      <c r="B2" s="42"/>
      <c r="C2" s="44"/>
      <c r="D2" s="44"/>
      <c r="E2" s="44"/>
      <c r="F2" s="44"/>
      <c r="G2" s="44"/>
      <c r="H2" s="44"/>
      <c r="I2" s="47"/>
      <c r="J2" s="44"/>
      <c r="K2" s="49"/>
      <c r="L2" s="13"/>
      <c r="M2" s="42"/>
      <c r="N2" s="44"/>
      <c r="O2" s="44"/>
      <c r="P2" s="44"/>
      <c r="Q2" s="44"/>
      <c r="R2" s="44"/>
      <c r="S2" s="44"/>
      <c r="T2" s="44"/>
      <c r="U2" s="44"/>
      <c r="V2" s="49"/>
      <c r="W2" s="13"/>
      <c r="X2" s="42"/>
      <c r="Y2" s="44"/>
      <c r="Z2" s="44"/>
      <c r="AA2" s="44"/>
      <c r="AB2" s="44"/>
      <c r="AC2" s="44"/>
      <c r="AD2" s="44"/>
      <c r="AE2" s="44"/>
      <c r="AF2" s="44"/>
      <c r="AG2" s="49"/>
      <c r="AH2" s="13"/>
      <c r="AI2" s="42"/>
      <c r="AJ2" s="44"/>
      <c r="AK2" s="44"/>
      <c r="AL2" s="44"/>
      <c r="AM2" s="44"/>
      <c r="AN2" s="44"/>
      <c r="AO2" s="44"/>
      <c r="AP2" s="44"/>
      <c r="AQ2" s="44"/>
      <c r="AR2" s="49"/>
      <c r="AS2" s="13"/>
      <c r="AT2" s="42"/>
      <c r="AU2" s="44"/>
      <c r="AV2" s="44"/>
      <c r="AW2" s="44"/>
      <c r="AX2" s="44"/>
      <c r="AY2" s="44"/>
      <c r="AZ2" s="44"/>
      <c r="BA2" s="44"/>
      <c r="BB2" s="44"/>
      <c r="BC2" s="49"/>
      <c r="BD2" s="13"/>
    </row>
    <row r="3" ht="15.0" customHeight="1">
      <c r="A3" s="13"/>
      <c r="B3" s="56"/>
      <c r="C3" s="57" t="s">
        <v>7</v>
      </c>
      <c r="D3" s="11"/>
      <c r="E3" s="11"/>
      <c r="F3" s="11"/>
      <c r="G3" s="11"/>
      <c r="H3" s="11"/>
      <c r="I3" s="11"/>
      <c r="J3" s="12"/>
      <c r="K3" s="59"/>
      <c r="L3" s="13"/>
      <c r="M3" s="56"/>
      <c r="N3" s="61" t="s">
        <v>38</v>
      </c>
      <c r="O3" s="11"/>
      <c r="P3" s="11"/>
      <c r="Q3" s="11"/>
      <c r="R3" s="11"/>
      <c r="S3" s="11"/>
      <c r="T3" s="11"/>
      <c r="U3" s="12"/>
      <c r="V3" s="59"/>
      <c r="W3" s="13"/>
      <c r="X3" s="56"/>
      <c r="Y3" s="63" t="s">
        <v>39</v>
      </c>
      <c r="Z3" s="11"/>
      <c r="AA3" s="11"/>
      <c r="AB3" s="11"/>
      <c r="AC3" s="11"/>
      <c r="AD3" s="11"/>
      <c r="AE3" s="11"/>
      <c r="AF3" s="12"/>
      <c r="AG3" s="59"/>
      <c r="AH3" s="13"/>
      <c r="AI3" s="56"/>
      <c r="AJ3" s="65" t="s">
        <v>40</v>
      </c>
      <c r="AK3" s="11"/>
      <c r="AL3" s="11"/>
      <c r="AM3" s="11"/>
      <c r="AN3" s="11"/>
      <c r="AO3" s="11"/>
      <c r="AP3" s="11"/>
      <c r="AQ3" s="12"/>
      <c r="AR3" s="59"/>
      <c r="AS3" s="67"/>
      <c r="AT3" s="56"/>
      <c r="AU3" s="70" t="s">
        <v>41</v>
      </c>
      <c r="AV3" s="11"/>
      <c r="AW3" s="11"/>
      <c r="AX3" s="11"/>
      <c r="AY3" s="11"/>
      <c r="AZ3" s="11"/>
      <c r="BA3" s="11"/>
      <c r="BB3" s="12"/>
      <c r="BC3" s="59"/>
      <c r="BD3" s="13"/>
    </row>
    <row r="4" ht="13.5" customHeight="1">
      <c r="A4" s="13"/>
      <c r="B4" s="56"/>
      <c r="C4" s="28"/>
      <c r="D4" s="29"/>
      <c r="E4" s="29"/>
      <c r="F4" s="29"/>
      <c r="G4" s="29"/>
      <c r="H4" s="29"/>
      <c r="I4" s="29"/>
      <c r="J4" s="30"/>
      <c r="K4" s="59"/>
      <c r="L4" s="13"/>
      <c r="M4" s="56"/>
      <c r="N4" s="28"/>
      <c r="O4" s="29"/>
      <c r="P4" s="29"/>
      <c r="Q4" s="29"/>
      <c r="R4" s="29"/>
      <c r="S4" s="29"/>
      <c r="T4" s="29"/>
      <c r="U4" s="30"/>
      <c r="V4" s="59"/>
      <c r="W4" s="67"/>
      <c r="X4" s="56"/>
      <c r="Y4" s="28"/>
      <c r="Z4" s="29"/>
      <c r="AA4" s="29"/>
      <c r="AB4" s="29"/>
      <c r="AC4" s="29"/>
      <c r="AD4" s="29"/>
      <c r="AE4" s="29"/>
      <c r="AF4" s="30"/>
      <c r="AG4" s="59"/>
      <c r="AH4" s="67"/>
      <c r="AI4" s="56"/>
      <c r="AJ4" s="28"/>
      <c r="AK4" s="29"/>
      <c r="AL4" s="29"/>
      <c r="AM4" s="29"/>
      <c r="AN4" s="29"/>
      <c r="AO4" s="29"/>
      <c r="AP4" s="29"/>
      <c r="AQ4" s="30"/>
      <c r="AR4" s="59"/>
      <c r="AS4" s="67"/>
      <c r="AT4" s="56"/>
      <c r="AU4" s="28"/>
      <c r="AV4" s="29"/>
      <c r="AW4" s="29"/>
      <c r="AX4" s="29"/>
      <c r="AY4" s="29"/>
      <c r="AZ4" s="29"/>
      <c r="BA4" s="29"/>
      <c r="BB4" s="30"/>
      <c r="BC4" s="59"/>
      <c r="BD4" s="67"/>
    </row>
    <row r="5" ht="13.5" customHeight="1">
      <c r="A5" s="13"/>
      <c r="B5" s="56"/>
      <c r="C5" s="76"/>
      <c r="D5" s="13"/>
      <c r="E5" s="13"/>
      <c r="F5" s="13"/>
      <c r="G5" s="13"/>
      <c r="H5" s="76"/>
      <c r="I5" s="19"/>
      <c r="J5" s="13"/>
      <c r="K5" s="59"/>
      <c r="L5" s="13"/>
      <c r="M5" s="56"/>
      <c r="N5" s="76"/>
      <c r="O5" s="13"/>
      <c r="P5" s="13"/>
      <c r="Q5" s="13"/>
      <c r="R5" s="13"/>
      <c r="S5" s="13"/>
      <c r="T5" s="76"/>
      <c r="U5" s="13"/>
      <c r="V5" s="59"/>
      <c r="W5" s="67"/>
      <c r="X5" s="56"/>
      <c r="Y5" s="76"/>
      <c r="Z5" s="13"/>
      <c r="AA5" s="13"/>
      <c r="AB5" s="13"/>
      <c r="AC5" s="13"/>
      <c r="AD5" s="76"/>
      <c r="AE5" s="13"/>
      <c r="AF5" s="13"/>
      <c r="AG5" s="59"/>
      <c r="AH5" s="67"/>
      <c r="AI5" s="56"/>
      <c r="AJ5" s="76"/>
      <c r="AK5" s="13"/>
      <c r="AL5" s="13"/>
      <c r="AM5" s="13"/>
      <c r="AN5" s="13"/>
      <c r="AO5" s="76"/>
      <c r="AP5" s="13"/>
      <c r="AQ5" s="13"/>
      <c r="AR5" s="59"/>
      <c r="AS5" s="13"/>
      <c r="AT5" s="56"/>
      <c r="AU5" s="76"/>
      <c r="AV5" s="13"/>
      <c r="AW5" s="13"/>
      <c r="AX5" s="13"/>
      <c r="AY5" s="13"/>
      <c r="AZ5" s="76"/>
      <c r="BA5" s="13"/>
      <c r="BB5" s="13"/>
      <c r="BC5" s="59"/>
      <c r="BD5" s="67"/>
    </row>
    <row r="6" ht="37.5" customHeight="1">
      <c r="A6" s="13"/>
      <c r="B6" s="56"/>
      <c r="C6" s="77" t="s">
        <v>43</v>
      </c>
      <c r="D6" s="78"/>
      <c r="E6" s="78"/>
      <c r="F6" s="78"/>
      <c r="G6" s="78"/>
      <c r="H6" s="78"/>
      <c r="I6" s="78"/>
      <c r="J6" s="79"/>
      <c r="K6" s="59"/>
      <c r="L6" s="13"/>
      <c r="M6" s="56"/>
      <c r="N6" s="77" t="str">
        <f>C6</f>
        <v>Plan 1 nivel
(90 Horas reloj - Nivel A1)</v>
      </c>
      <c r="O6" s="78"/>
      <c r="P6" s="78"/>
      <c r="Q6" s="78"/>
      <c r="R6" s="78"/>
      <c r="S6" s="78"/>
      <c r="T6" s="78"/>
      <c r="U6" s="79"/>
      <c r="V6" s="59"/>
      <c r="W6" s="13"/>
      <c r="X6" s="56"/>
      <c r="Y6" s="77" t="str">
        <f>C6</f>
        <v>Plan 1 nivel
(90 Horas reloj - Nivel A1)</v>
      </c>
      <c r="Z6" s="78"/>
      <c r="AA6" s="78"/>
      <c r="AB6" s="78"/>
      <c r="AC6" s="78"/>
      <c r="AD6" s="78"/>
      <c r="AE6" s="78"/>
      <c r="AF6" s="79"/>
      <c r="AG6" s="59"/>
      <c r="AH6" s="13"/>
      <c r="AI6" s="56"/>
      <c r="AJ6" s="77" t="str">
        <f>C6</f>
        <v>Plan 1 nivel
(90 Horas reloj - Nivel A1)</v>
      </c>
      <c r="AK6" s="78"/>
      <c r="AL6" s="78"/>
      <c r="AM6" s="78"/>
      <c r="AN6" s="78"/>
      <c r="AO6" s="78"/>
      <c r="AP6" s="78"/>
      <c r="AQ6" s="79"/>
      <c r="AR6" s="59"/>
      <c r="AS6" s="81"/>
      <c r="AT6" s="56"/>
      <c r="AU6" s="77" t="str">
        <f>C6</f>
        <v>Plan 1 nivel
(90 Horas reloj - Nivel A1)</v>
      </c>
      <c r="AV6" s="78"/>
      <c r="AW6" s="78"/>
      <c r="AX6" s="78"/>
      <c r="AY6" s="78"/>
      <c r="AZ6" s="78"/>
      <c r="BA6" s="78"/>
      <c r="BB6" s="79"/>
      <c r="BC6" s="59"/>
      <c r="BD6" s="13"/>
    </row>
    <row r="7" ht="13.5" customHeight="1">
      <c r="A7" s="13"/>
      <c r="B7" s="56"/>
      <c r="C7" s="82" t="s">
        <v>13</v>
      </c>
      <c r="D7" s="83" t="s">
        <v>14</v>
      </c>
      <c r="E7" s="83" t="s">
        <v>16</v>
      </c>
      <c r="F7" s="83" t="s">
        <v>17</v>
      </c>
      <c r="G7" s="83" t="s">
        <v>18</v>
      </c>
      <c r="H7" s="83" t="s">
        <v>19</v>
      </c>
      <c r="I7" s="84" t="s">
        <v>20</v>
      </c>
      <c r="J7" s="85" t="s">
        <v>22</v>
      </c>
      <c r="K7" s="59"/>
      <c r="L7" s="13"/>
      <c r="M7" s="56"/>
      <c r="N7" s="86" t="s">
        <v>13</v>
      </c>
      <c r="O7" s="87" t="s">
        <v>14</v>
      </c>
      <c r="P7" s="87" t="s">
        <v>16</v>
      </c>
      <c r="Q7" s="83" t="s">
        <v>17</v>
      </c>
      <c r="R7" s="83" t="s">
        <v>18</v>
      </c>
      <c r="S7" s="88" t="s">
        <v>19</v>
      </c>
      <c r="T7" s="84" t="s">
        <v>20</v>
      </c>
      <c r="U7" s="85" t="s">
        <v>22</v>
      </c>
      <c r="V7" s="59"/>
      <c r="W7" s="81"/>
      <c r="X7" s="56"/>
      <c r="Y7" s="86" t="s">
        <v>13</v>
      </c>
      <c r="Z7" s="87" t="s">
        <v>14</v>
      </c>
      <c r="AA7" s="87" t="s">
        <v>16</v>
      </c>
      <c r="AB7" s="83" t="s">
        <v>17</v>
      </c>
      <c r="AC7" s="83" t="s">
        <v>18</v>
      </c>
      <c r="AD7" s="88" t="s">
        <v>19</v>
      </c>
      <c r="AE7" s="84" t="s">
        <v>20</v>
      </c>
      <c r="AF7" s="85" t="s">
        <v>22</v>
      </c>
      <c r="AG7" s="59"/>
      <c r="AH7" s="81"/>
      <c r="AI7" s="56"/>
      <c r="AJ7" s="86" t="s">
        <v>13</v>
      </c>
      <c r="AK7" s="87" t="s">
        <v>14</v>
      </c>
      <c r="AL7" s="87" t="s">
        <v>16</v>
      </c>
      <c r="AM7" s="83" t="s">
        <v>17</v>
      </c>
      <c r="AN7" s="83" t="s">
        <v>18</v>
      </c>
      <c r="AO7" s="87" t="s">
        <v>19</v>
      </c>
      <c r="AP7" s="89" t="s">
        <v>20</v>
      </c>
      <c r="AQ7" s="90" t="s">
        <v>22</v>
      </c>
      <c r="AR7" s="59"/>
      <c r="AS7" s="91"/>
      <c r="AT7" s="56"/>
      <c r="AU7" s="82" t="s">
        <v>13</v>
      </c>
      <c r="AV7" s="83" t="s">
        <v>14</v>
      </c>
      <c r="AW7" s="83" t="s">
        <v>16</v>
      </c>
      <c r="AX7" s="83" t="s">
        <v>17</v>
      </c>
      <c r="AY7" s="83" t="s">
        <v>18</v>
      </c>
      <c r="AZ7" s="83" t="s">
        <v>19</v>
      </c>
      <c r="BA7" s="84" t="s">
        <v>20</v>
      </c>
      <c r="BB7" s="85" t="s">
        <v>22</v>
      </c>
      <c r="BC7" s="59"/>
      <c r="BD7" s="81"/>
    </row>
    <row r="8" ht="13.5" customHeight="1">
      <c r="A8" s="13"/>
      <c r="B8" s="56"/>
      <c r="C8" s="92" t="str">
        <f>'[2]IPC 2025'!E3</f>
        <v>#REF!</v>
      </c>
      <c r="D8" s="93">
        <v>1.0</v>
      </c>
      <c r="E8" s="94">
        <v>0.1</v>
      </c>
      <c r="F8" s="95" t="str">
        <f>H8</f>
        <v>#REF!</v>
      </c>
      <c r="G8" s="95">
        <v>0.0</v>
      </c>
      <c r="H8" s="95" t="str">
        <f>C8-(C8*E8)</f>
        <v>#REF!</v>
      </c>
      <c r="I8" s="95" t="str">
        <f>H8/J$8</f>
        <v>#REF!</v>
      </c>
      <c r="J8" s="93">
        <v>90.0</v>
      </c>
      <c r="K8" s="59"/>
      <c r="L8" s="13"/>
      <c r="M8" s="56"/>
      <c r="N8" s="92" t="str">
        <f>C8</f>
        <v>#REF!</v>
      </c>
      <c r="O8" s="93">
        <v>1.0</v>
      </c>
      <c r="P8" s="94" t="str">
        <f>(N8-S8)/N8</f>
        <v>#REF!</v>
      </c>
      <c r="Q8" s="95" t="str">
        <f>S8</f>
        <v>#REF!</v>
      </c>
      <c r="R8" s="95">
        <v>0.0</v>
      </c>
      <c r="S8" s="95" t="str">
        <f t="shared" ref="S8:S9" si="1">H8*0.95</f>
        <v>#REF!</v>
      </c>
      <c r="T8" s="95" t="str">
        <f>S8/U8</f>
        <v>#REF!</v>
      </c>
      <c r="U8" s="93">
        <v>90.0</v>
      </c>
      <c r="V8" s="59"/>
      <c r="W8" s="91"/>
      <c r="X8" s="56"/>
      <c r="Y8" s="92" t="str">
        <f>+C8</f>
        <v>#REF!</v>
      </c>
      <c r="Z8" s="93">
        <v>1.0</v>
      </c>
      <c r="AA8" s="94" t="str">
        <f>(Y8-AD8)/Y8</f>
        <v>#REF!</v>
      </c>
      <c r="AB8" s="95" t="str">
        <f>AD8</f>
        <v>#REF!</v>
      </c>
      <c r="AC8" s="95">
        <v>0.0</v>
      </c>
      <c r="AD8" s="95" t="str">
        <f t="shared" ref="AD8:AD9" si="2">H8*0.9</f>
        <v>#REF!</v>
      </c>
      <c r="AE8" s="95" t="str">
        <f>AD8/AF8</f>
        <v>#REF!</v>
      </c>
      <c r="AF8" s="93">
        <v>90.0</v>
      </c>
      <c r="AG8" s="59"/>
      <c r="AH8" s="91"/>
      <c r="AI8" s="56"/>
      <c r="AJ8" s="92" t="str">
        <f>+C8</f>
        <v>#REF!</v>
      </c>
      <c r="AK8" s="93">
        <v>1.0</v>
      </c>
      <c r="AL8" s="94" t="str">
        <f>(AJ8-AO8)/AJ8</f>
        <v>#REF!</v>
      </c>
      <c r="AM8" s="95" t="str">
        <f>AO8</f>
        <v>#REF!</v>
      </c>
      <c r="AN8" s="95">
        <v>0.0</v>
      </c>
      <c r="AO8" s="95" t="str">
        <f t="shared" ref="AO8:AO9" si="3">H8*0.85</f>
        <v>#REF!</v>
      </c>
      <c r="AP8" s="95" t="str">
        <f>AO8/AQ8</f>
        <v>#REF!</v>
      </c>
      <c r="AQ8" s="93">
        <v>90.0</v>
      </c>
      <c r="AR8" s="59"/>
      <c r="AS8" s="19"/>
      <c r="AT8" s="56"/>
      <c r="AU8" s="92" t="str">
        <f>+C8</f>
        <v>#REF!</v>
      </c>
      <c r="AV8" s="93">
        <v>1.0</v>
      </c>
      <c r="AW8" s="94" t="str">
        <f>(AU8-AZ8)/AU8</f>
        <v>#REF!</v>
      </c>
      <c r="AX8" s="95" t="str">
        <f>AZ8</f>
        <v>#REF!</v>
      </c>
      <c r="AY8" s="95">
        <v>0.0</v>
      </c>
      <c r="AZ8" s="95" t="str">
        <f t="shared" ref="AZ8:AZ9" si="4">H8*0.8</f>
        <v>#REF!</v>
      </c>
      <c r="BA8" s="95" t="str">
        <f>AZ8/BB8</f>
        <v>#REF!</v>
      </c>
      <c r="BB8" s="93">
        <v>90.0</v>
      </c>
      <c r="BC8" s="59"/>
      <c r="BD8" s="91"/>
    </row>
    <row r="9" ht="13.5" customHeight="1">
      <c r="A9" s="13"/>
      <c r="B9" s="56"/>
      <c r="C9" s="96"/>
      <c r="D9" s="93">
        <v>2.0</v>
      </c>
      <c r="E9" s="94">
        <v>0.0</v>
      </c>
      <c r="F9" s="97" t="str">
        <f>H9/D9</f>
        <v>#REF!</v>
      </c>
      <c r="G9" s="95" t="str">
        <f>(H9-F9)/(D9-1)</f>
        <v>#REF!</v>
      </c>
      <c r="H9" s="95" t="str">
        <f>C8-(C8*E9)</f>
        <v>#REF!</v>
      </c>
      <c r="I9" s="95" t="str">
        <f>H9/J8</f>
        <v>#REF!</v>
      </c>
      <c r="J9" s="99">
        <f>J8/D9</f>
        <v>45</v>
      </c>
      <c r="K9" s="59"/>
      <c r="L9" s="13"/>
      <c r="M9" s="56"/>
      <c r="N9" s="96"/>
      <c r="O9" s="93">
        <f>D9</f>
        <v>2</v>
      </c>
      <c r="P9" s="94" t="str">
        <f>(N8-S9)/N8</f>
        <v>#REF!</v>
      </c>
      <c r="Q9" s="97" t="str">
        <f>F9-(F9*5%)</f>
        <v>#REF!</v>
      </c>
      <c r="R9" s="95" t="str">
        <f>(S9-Q9)/(O9-1)</f>
        <v>#REF!</v>
      </c>
      <c r="S9" s="95" t="str">
        <f t="shared" si="1"/>
        <v>#REF!</v>
      </c>
      <c r="T9" s="95" t="str">
        <f>S9/U8</f>
        <v>#REF!</v>
      </c>
      <c r="U9" s="93">
        <f>U8/O9</f>
        <v>45</v>
      </c>
      <c r="V9" s="59"/>
      <c r="W9" s="19"/>
      <c r="X9" s="56"/>
      <c r="Y9" s="96"/>
      <c r="Z9" s="93">
        <f>+D9</f>
        <v>2</v>
      </c>
      <c r="AA9" s="94" t="str">
        <f>(Y8-AD9)/Y8</f>
        <v>#REF!</v>
      </c>
      <c r="AB9" s="97" t="str">
        <f>F9-(F9*10%)</f>
        <v>#REF!</v>
      </c>
      <c r="AC9" s="95" t="str">
        <f>(AD9-AB9)/(Z9-1)</f>
        <v>#REF!</v>
      </c>
      <c r="AD9" s="95" t="str">
        <f t="shared" si="2"/>
        <v>#REF!</v>
      </c>
      <c r="AE9" s="95" t="str">
        <f>AD9/AF8</f>
        <v>#REF!</v>
      </c>
      <c r="AF9" s="93">
        <f>AF8/Z9</f>
        <v>45</v>
      </c>
      <c r="AG9" s="59"/>
      <c r="AH9" s="19"/>
      <c r="AI9" s="56"/>
      <c r="AJ9" s="96"/>
      <c r="AK9" s="93">
        <f>+D9</f>
        <v>2</v>
      </c>
      <c r="AL9" s="94" t="str">
        <f>(AJ8-AO9)/AJ8</f>
        <v>#REF!</v>
      </c>
      <c r="AM9" s="97" t="str">
        <f>F9-(F9*15%)</f>
        <v>#REF!</v>
      </c>
      <c r="AN9" s="95" t="str">
        <f>(AO9-AM9)/(AK9-1)</f>
        <v>#REF!</v>
      </c>
      <c r="AO9" s="95" t="str">
        <f t="shared" si="3"/>
        <v>#REF!</v>
      </c>
      <c r="AP9" s="95" t="str">
        <f>AO9/AQ8</f>
        <v>#REF!</v>
      </c>
      <c r="AQ9" s="93">
        <f>AQ8/AK9</f>
        <v>45</v>
      </c>
      <c r="AR9" s="59"/>
      <c r="AS9" s="19"/>
      <c r="AT9" s="56"/>
      <c r="AU9" s="96"/>
      <c r="AV9" s="93">
        <f>+D9</f>
        <v>2</v>
      </c>
      <c r="AW9" s="94" t="str">
        <f>(AU8-AZ9)/AU8</f>
        <v>#REF!</v>
      </c>
      <c r="AX9" s="97" t="str">
        <f>F9-(F9*20%)</f>
        <v>#REF!</v>
      </c>
      <c r="AY9" s="95" t="str">
        <f>(AZ9-AX9)/(AV9-1)</f>
        <v>#REF!</v>
      </c>
      <c r="AZ9" s="95" t="str">
        <f t="shared" si="4"/>
        <v>#REF!</v>
      </c>
      <c r="BA9" s="95" t="str">
        <f>AZ9/BB8</f>
        <v>#REF!</v>
      </c>
      <c r="BB9" s="93">
        <f>BB8/AV9</f>
        <v>45</v>
      </c>
      <c r="BC9" s="59"/>
      <c r="BD9" s="19"/>
    </row>
    <row r="10" ht="13.5" customHeight="1">
      <c r="A10" s="13"/>
      <c r="B10" s="56"/>
      <c r="C10" s="13"/>
      <c r="D10" s="13"/>
      <c r="E10" s="13"/>
      <c r="F10" s="13"/>
      <c r="G10" s="13"/>
      <c r="H10" s="13"/>
      <c r="I10" s="13"/>
      <c r="J10" s="13"/>
      <c r="K10" s="59"/>
      <c r="L10" s="13"/>
      <c r="M10" s="56"/>
      <c r="N10" s="108"/>
      <c r="O10" s="108"/>
      <c r="P10" s="13"/>
      <c r="Q10" s="13"/>
      <c r="R10" s="13"/>
      <c r="S10" s="13"/>
      <c r="T10" s="13"/>
      <c r="U10" s="13"/>
      <c r="V10" s="59"/>
      <c r="W10" s="19"/>
      <c r="X10" s="56"/>
      <c r="Y10" s="108"/>
      <c r="Z10" s="108"/>
      <c r="AA10" s="13"/>
      <c r="AB10" s="13"/>
      <c r="AC10" s="13"/>
      <c r="AD10" s="13"/>
      <c r="AE10" s="13"/>
      <c r="AF10" s="13"/>
      <c r="AG10" s="59"/>
      <c r="AH10" s="19"/>
      <c r="AI10" s="56"/>
      <c r="AJ10" s="13"/>
      <c r="AK10" s="13"/>
      <c r="AL10" s="13"/>
      <c r="AM10" s="13"/>
      <c r="AN10" s="13"/>
      <c r="AO10" s="13"/>
      <c r="AP10" s="13"/>
      <c r="AQ10" s="13"/>
      <c r="AR10" s="59"/>
      <c r="AS10" s="13"/>
      <c r="AT10" s="56"/>
      <c r="AU10" s="13"/>
      <c r="AV10" s="13"/>
      <c r="AW10" s="13"/>
      <c r="AX10" s="13"/>
      <c r="AY10" s="13"/>
      <c r="AZ10" s="13"/>
      <c r="BA10" s="13"/>
      <c r="BB10" s="13"/>
      <c r="BC10" s="59"/>
      <c r="BD10" s="19"/>
    </row>
    <row r="11" ht="33.75" customHeight="1">
      <c r="A11" s="13"/>
      <c r="B11" s="56"/>
      <c r="C11" s="77" t="s">
        <v>48</v>
      </c>
      <c r="D11" s="78"/>
      <c r="E11" s="78"/>
      <c r="F11" s="78"/>
      <c r="G11" s="78"/>
      <c r="H11" s="78"/>
      <c r="I11" s="78"/>
      <c r="J11" s="79"/>
      <c r="K11" s="59"/>
      <c r="L11" s="13"/>
      <c r="M11" s="56"/>
      <c r="N11" s="77" t="str">
        <f>C11</f>
        <v>Plan 1 nivel
(114 Horas reloj - Nivel A2)</v>
      </c>
      <c r="O11" s="78"/>
      <c r="P11" s="78"/>
      <c r="Q11" s="78"/>
      <c r="R11" s="78"/>
      <c r="S11" s="78"/>
      <c r="T11" s="78"/>
      <c r="U11" s="79"/>
      <c r="V11" s="59"/>
      <c r="W11" s="13"/>
      <c r="X11" s="56"/>
      <c r="Y11" s="77" t="str">
        <f>C11</f>
        <v>Plan 1 nivel
(114 Horas reloj - Nivel A2)</v>
      </c>
      <c r="Z11" s="78"/>
      <c r="AA11" s="78"/>
      <c r="AB11" s="78"/>
      <c r="AC11" s="78"/>
      <c r="AD11" s="78"/>
      <c r="AE11" s="78"/>
      <c r="AF11" s="114"/>
      <c r="AG11" s="59"/>
      <c r="AH11" s="13"/>
      <c r="AI11" s="56"/>
      <c r="AJ11" s="77" t="str">
        <f>C11</f>
        <v>Plan 1 nivel
(114 Horas reloj - Nivel A2)</v>
      </c>
      <c r="AK11" s="78"/>
      <c r="AL11" s="78"/>
      <c r="AM11" s="78"/>
      <c r="AN11" s="78"/>
      <c r="AO11" s="78"/>
      <c r="AP11" s="78"/>
      <c r="AQ11" s="79"/>
      <c r="AR11" s="59"/>
      <c r="AS11" s="81"/>
      <c r="AT11" s="56"/>
      <c r="AU11" s="77" t="str">
        <f>C11</f>
        <v>Plan 1 nivel
(114 Horas reloj - Nivel A2)</v>
      </c>
      <c r="AV11" s="78"/>
      <c r="AW11" s="78"/>
      <c r="AX11" s="78"/>
      <c r="AY11" s="78"/>
      <c r="AZ11" s="78"/>
      <c r="BA11" s="78"/>
      <c r="BB11" s="79"/>
      <c r="BC11" s="59"/>
      <c r="BD11" s="13"/>
    </row>
    <row r="12" ht="13.5" customHeight="1">
      <c r="A12" s="13"/>
      <c r="B12" s="56"/>
      <c r="C12" s="86" t="s">
        <v>13</v>
      </c>
      <c r="D12" s="87" t="s">
        <v>14</v>
      </c>
      <c r="E12" s="87" t="s">
        <v>16</v>
      </c>
      <c r="F12" s="83" t="s">
        <v>17</v>
      </c>
      <c r="G12" s="83" t="s">
        <v>18</v>
      </c>
      <c r="H12" s="87" t="s">
        <v>19</v>
      </c>
      <c r="I12" s="117" t="s">
        <v>20</v>
      </c>
      <c r="J12" s="85" t="s">
        <v>22</v>
      </c>
      <c r="K12" s="59"/>
      <c r="L12" s="13"/>
      <c r="M12" s="56"/>
      <c r="N12" s="86" t="s">
        <v>13</v>
      </c>
      <c r="O12" s="87" t="s">
        <v>14</v>
      </c>
      <c r="P12" s="87" t="s">
        <v>16</v>
      </c>
      <c r="Q12" s="83" t="s">
        <v>17</v>
      </c>
      <c r="R12" s="83" t="s">
        <v>18</v>
      </c>
      <c r="S12" s="87" t="s">
        <v>19</v>
      </c>
      <c r="T12" s="117" t="s">
        <v>20</v>
      </c>
      <c r="U12" s="85" t="s">
        <v>22</v>
      </c>
      <c r="V12" s="59"/>
      <c r="W12" s="81"/>
      <c r="X12" s="56"/>
      <c r="Y12" s="86" t="s">
        <v>13</v>
      </c>
      <c r="Z12" s="87" t="s">
        <v>14</v>
      </c>
      <c r="AA12" s="87" t="s">
        <v>16</v>
      </c>
      <c r="AB12" s="83" t="s">
        <v>17</v>
      </c>
      <c r="AC12" s="83" t="s">
        <v>18</v>
      </c>
      <c r="AD12" s="87" t="s">
        <v>19</v>
      </c>
      <c r="AE12" s="117" t="s">
        <v>20</v>
      </c>
      <c r="AF12" s="85" t="s">
        <v>22</v>
      </c>
      <c r="AG12" s="59"/>
      <c r="AH12" s="81"/>
      <c r="AI12" s="56"/>
      <c r="AJ12" s="86" t="s">
        <v>13</v>
      </c>
      <c r="AK12" s="87" t="s">
        <v>14</v>
      </c>
      <c r="AL12" s="87" t="s">
        <v>16</v>
      </c>
      <c r="AM12" s="83" t="s">
        <v>17</v>
      </c>
      <c r="AN12" s="83" t="s">
        <v>18</v>
      </c>
      <c r="AO12" s="87" t="s">
        <v>19</v>
      </c>
      <c r="AP12" s="117" t="s">
        <v>20</v>
      </c>
      <c r="AQ12" s="85" t="s">
        <v>22</v>
      </c>
      <c r="AR12" s="59"/>
      <c r="AS12" s="91"/>
      <c r="AT12" s="56"/>
      <c r="AU12" s="82" t="s">
        <v>13</v>
      </c>
      <c r="AV12" s="83" t="s">
        <v>14</v>
      </c>
      <c r="AW12" s="83" t="s">
        <v>16</v>
      </c>
      <c r="AX12" s="83" t="s">
        <v>17</v>
      </c>
      <c r="AY12" s="83" t="s">
        <v>18</v>
      </c>
      <c r="AZ12" s="83" t="s">
        <v>19</v>
      </c>
      <c r="BA12" s="84" t="s">
        <v>20</v>
      </c>
      <c r="BB12" s="85" t="s">
        <v>22</v>
      </c>
      <c r="BC12" s="59"/>
      <c r="BD12" s="81"/>
    </row>
    <row r="13" ht="13.5" customHeight="1">
      <c r="A13" s="13"/>
      <c r="B13" s="56"/>
      <c r="C13" s="92" t="str">
        <f>'[2]IPC 2025'!E4</f>
        <v>#REF!</v>
      </c>
      <c r="D13" s="93">
        <v>1.0</v>
      </c>
      <c r="E13" s="94">
        <v>0.1</v>
      </c>
      <c r="F13" s="95" t="str">
        <f>H13</f>
        <v>#REF!</v>
      </c>
      <c r="G13" s="95">
        <v>0.0</v>
      </c>
      <c r="H13" s="95" t="str">
        <f>C13-(C13*E13)</f>
        <v>#REF!</v>
      </c>
      <c r="I13" s="118" t="str">
        <f>H13/J13</f>
        <v>#REF!</v>
      </c>
      <c r="J13" s="93">
        <v>114.0</v>
      </c>
      <c r="K13" s="59"/>
      <c r="L13" s="13"/>
      <c r="M13" s="56"/>
      <c r="N13" s="92" t="str">
        <f>C13</f>
        <v>#REF!</v>
      </c>
      <c r="O13" s="93">
        <v>1.0</v>
      </c>
      <c r="P13" s="94" t="str">
        <f>(N13-S13)/N13</f>
        <v>#REF!</v>
      </c>
      <c r="Q13" s="95" t="str">
        <f>S13</f>
        <v>#REF!</v>
      </c>
      <c r="R13" s="95">
        <v>0.0</v>
      </c>
      <c r="S13" s="95" t="str">
        <f t="shared" ref="S13:S14" si="5">H13*0.95</f>
        <v>#REF!</v>
      </c>
      <c r="T13" s="118" t="str">
        <f>S13/U13</f>
        <v>#REF!</v>
      </c>
      <c r="U13" s="93">
        <v>114.0</v>
      </c>
      <c r="V13" s="59"/>
      <c r="W13" s="91"/>
      <c r="X13" s="56"/>
      <c r="Y13" s="92" t="str">
        <f>+C13</f>
        <v>#REF!</v>
      </c>
      <c r="Z13" s="93">
        <v>1.0</v>
      </c>
      <c r="AA13" s="94" t="str">
        <f>(Y13-AD13)/Y13</f>
        <v>#REF!</v>
      </c>
      <c r="AB13" s="95" t="str">
        <f>AD13</f>
        <v>#REF!</v>
      </c>
      <c r="AC13" s="95">
        <v>0.0</v>
      </c>
      <c r="AD13" s="95" t="str">
        <f t="shared" ref="AD13:AD14" si="6">H13*0.9</f>
        <v>#REF!</v>
      </c>
      <c r="AE13" s="118" t="str">
        <f>AD13/AF13</f>
        <v>#REF!</v>
      </c>
      <c r="AF13" s="93">
        <v>114.0</v>
      </c>
      <c r="AG13" s="59"/>
      <c r="AH13" s="91"/>
      <c r="AI13" s="56"/>
      <c r="AJ13" s="92" t="str">
        <f>+C13</f>
        <v>#REF!</v>
      </c>
      <c r="AK13" s="93">
        <v>1.0</v>
      </c>
      <c r="AL13" s="94" t="str">
        <f>(AJ13-AO13)/AJ13</f>
        <v>#REF!</v>
      </c>
      <c r="AM13" s="95" t="str">
        <f>AO13</f>
        <v>#REF!</v>
      </c>
      <c r="AN13" s="95">
        <v>0.0</v>
      </c>
      <c r="AO13" s="95" t="str">
        <f t="shared" ref="AO13:AO14" si="7">H13*0.85</f>
        <v>#REF!</v>
      </c>
      <c r="AP13" s="118" t="str">
        <f>AO13/AQ13</f>
        <v>#REF!</v>
      </c>
      <c r="AQ13" s="93">
        <v>114.0</v>
      </c>
      <c r="AR13" s="59"/>
      <c r="AS13" s="19"/>
      <c r="AT13" s="56"/>
      <c r="AU13" s="92" t="str">
        <f>+C13</f>
        <v>#REF!</v>
      </c>
      <c r="AV13" s="93">
        <v>1.0</v>
      </c>
      <c r="AW13" s="94" t="str">
        <f>(AU13-AZ13)/AU13</f>
        <v>#REF!</v>
      </c>
      <c r="AX13" s="95" t="str">
        <f>AZ13</f>
        <v>#REF!</v>
      </c>
      <c r="AY13" s="95">
        <v>0.0</v>
      </c>
      <c r="AZ13" s="95" t="str">
        <f t="shared" ref="AZ13:AZ14" si="8">H13*0.8</f>
        <v>#REF!</v>
      </c>
      <c r="BA13" s="95" t="str">
        <f>AZ13/BB13</f>
        <v>#REF!</v>
      </c>
      <c r="BB13" s="93">
        <v>114.0</v>
      </c>
      <c r="BC13" s="59"/>
      <c r="BD13" s="91"/>
    </row>
    <row r="14" ht="13.5" customHeight="1">
      <c r="A14" s="13"/>
      <c r="B14" s="56"/>
      <c r="C14" s="96"/>
      <c r="D14" s="93">
        <v>3.0</v>
      </c>
      <c r="E14" s="94">
        <v>0.0</v>
      </c>
      <c r="F14" s="97" t="str">
        <f>H14/D14</f>
        <v>#REF!</v>
      </c>
      <c r="G14" s="95" t="str">
        <f>(H14-F14)/(D14-1)</f>
        <v>#REF!</v>
      </c>
      <c r="H14" s="95" t="str">
        <f>C13-(C13*E14)</f>
        <v>#REF!</v>
      </c>
      <c r="I14" s="118" t="str">
        <f>H14/J13</f>
        <v>#REF!</v>
      </c>
      <c r="J14" s="99">
        <f>J13/D14</f>
        <v>38</v>
      </c>
      <c r="K14" s="59"/>
      <c r="L14" s="13"/>
      <c r="M14" s="56"/>
      <c r="N14" s="96"/>
      <c r="O14" s="93">
        <f>D14</f>
        <v>3</v>
      </c>
      <c r="P14" s="94" t="str">
        <f>(N13-S14)/N13</f>
        <v>#REF!</v>
      </c>
      <c r="Q14" s="97" t="str">
        <f>F14-(F14*5%)</f>
        <v>#REF!</v>
      </c>
      <c r="R14" s="95" t="str">
        <f>(S14-Q14)/(O14-1)</f>
        <v>#REF!</v>
      </c>
      <c r="S14" s="95" t="str">
        <f t="shared" si="5"/>
        <v>#REF!</v>
      </c>
      <c r="T14" s="118" t="str">
        <f>S14/U13</f>
        <v>#REF!</v>
      </c>
      <c r="U14" s="99">
        <f>U13/O14</f>
        <v>38</v>
      </c>
      <c r="V14" s="59"/>
      <c r="W14" s="19"/>
      <c r="X14" s="56"/>
      <c r="Y14" s="96"/>
      <c r="Z14" s="93">
        <f>+D14</f>
        <v>3</v>
      </c>
      <c r="AA14" s="94" t="str">
        <f>(Y13-AD14)/Y13</f>
        <v>#REF!</v>
      </c>
      <c r="AB14" s="97" t="str">
        <f>F14-(F14*10%)</f>
        <v>#REF!</v>
      </c>
      <c r="AC14" s="95" t="str">
        <f>(AD14-AB14)/(Z14-1)</f>
        <v>#REF!</v>
      </c>
      <c r="AD14" s="95" t="str">
        <f t="shared" si="6"/>
        <v>#REF!</v>
      </c>
      <c r="AE14" s="118" t="str">
        <f>AD14/AF13</f>
        <v>#REF!</v>
      </c>
      <c r="AF14" s="99">
        <f>AF13/Z14</f>
        <v>38</v>
      </c>
      <c r="AG14" s="59"/>
      <c r="AH14" s="19"/>
      <c r="AI14" s="56"/>
      <c r="AJ14" s="96"/>
      <c r="AK14" s="93">
        <f>+D14</f>
        <v>3</v>
      </c>
      <c r="AL14" s="94" t="str">
        <f>(AJ13-AO14)/AJ13</f>
        <v>#REF!</v>
      </c>
      <c r="AM14" s="97" t="str">
        <f>F14-(F14*15%)</f>
        <v>#REF!</v>
      </c>
      <c r="AN14" s="95" t="str">
        <f>(AO14-AM14)/(AK14-1)</f>
        <v>#REF!</v>
      </c>
      <c r="AO14" s="95" t="str">
        <f t="shared" si="7"/>
        <v>#REF!</v>
      </c>
      <c r="AP14" s="118" t="str">
        <f>AO14/AQ13</f>
        <v>#REF!</v>
      </c>
      <c r="AQ14" s="99">
        <f>AQ13/AK14</f>
        <v>38</v>
      </c>
      <c r="AR14" s="59"/>
      <c r="AS14" s="147"/>
      <c r="AT14" s="56"/>
      <c r="AU14" s="96"/>
      <c r="AV14" s="93">
        <f>+D14</f>
        <v>3</v>
      </c>
      <c r="AW14" s="94" t="str">
        <f>(AU13-AZ14)/AU13</f>
        <v>#REF!</v>
      </c>
      <c r="AX14" s="97" t="str">
        <f>F14-(F14*20%)</f>
        <v>#REF!</v>
      </c>
      <c r="AY14" s="95" t="str">
        <f>(AZ14-AX14)/(AV14-1)</f>
        <v>#REF!</v>
      </c>
      <c r="AZ14" s="95" t="str">
        <f t="shared" si="8"/>
        <v>#REF!</v>
      </c>
      <c r="BA14" s="95" t="str">
        <f>AZ14/BB13</f>
        <v>#REF!</v>
      </c>
      <c r="BB14" s="99">
        <f>BB13/AV14</f>
        <v>38</v>
      </c>
      <c r="BC14" s="59"/>
      <c r="BD14" s="19"/>
    </row>
    <row r="15" ht="13.5" customHeight="1">
      <c r="A15" s="13"/>
      <c r="B15" s="56"/>
      <c r="C15" s="13"/>
      <c r="D15" s="13"/>
      <c r="E15" s="13"/>
      <c r="F15" s="13"/>
      <c r="G15" s="13"/>
      <c r="H15" s="13"/>
      <c r="I15" s="19"/>
      <c r="J15" s="13"/>
      <c r="K15" s="59"/>
      <c r="L15" s="13"/>
      <c r="M15" s="56"/>
      <c r="N15" s="13"/>
      <c r="O15" s="13"/>
      <c r="P15" s="13"/>
      <c r="Q15" s="13"/>
      <c r="R15" s="13"/>
      <c r="S15" s="13"/>
      <c r="T15" s="13"/>
      <c r="U15" s="13"/>
      <c r="V15" s="59"/>
      <c r="W15" s="147"/>
      <c r="X15" s="56"/>
      <c r="Y15" s="13"/>
      <c r="Z15" s="13"/>
      <c r="AA15" s="13"/>
      <c r="AB15" s="13"/>
      <c r="AC15" s="13"/>
      <c r="AD15" s="13"/>
      <c r="AE15" s="13"/>
      <c r="AF15" s="13"/>
      <c r="AG15" s="59"/>
      <c r="AH15" s="147"/>
      <c r="AI15" s="56"/>
      <c r="AJ15" s="13"/>
      <c r="AK15" s="13"/>
      <c r="AL15" s="13"/>
      <c r="AM15" s="13"/>
      <c r="AN15" s="13"/>
      <c r="AO15" s="13"/>
      <c r="AP15" s="13"/>
      <c r="AQ15" s="13"/>
      <c r="AR15" s="59"/>
      <c r="AS15" s="13"/>
      <c r="AT15" s="56"/>
      <c r="AU15" s="13"/>
      <c r="AV15" s="13"/>
      <c r="AW15" s="13"/>
      <c r="AX15" s="13"/>
      <c r="AY15" s="13"/>
      <c r="AZ15" s="13"/>
      <c r="BA15" s="13"/>
      <c r="BB15" s="13"/>
      <c r="BC15" s="59"/>
      <c r="BD15" s="147"/>
    </row>
    <row r="16" ht="33.0" customHeight="1">
      <c r="A16" s="13"/>
      <c r="B16" s="56"/>
      <c r="C16" s="77" t="s">
        <v>53</v>
      </c>
      <c r="D16" s="78"/>
      <c r="E16" s="78"/>
      <c r="F16" s="78"/>
      <c r="G16" s="78"/>
      <c r="H16" s="78"/>
      <c r="I16" s="78"/>
      <c r="J16" s="79"/>
      <c r="K16" s="59"/>
      <c r="L16" s="13"/>
      <c r="M16" s="56"/>
      <c r="N16" s="77" t="str">
        <f>C16</f>
        <v>Plan 1 nivel
(159  Horas reloj - Niveles B1, B2 o C1)</v>
      </c>
      <c r="O16" s="78"/>
      <c r="P16" s="78"/>
      <c r="Q16" s="78"/>
      <c r="R16" s="78"/>
      <c r="S16" s="78"/>
      <c r="T16" s="78"/>
      <c r="U16" s="79"/>
      <c r="V16" s="59"/>
      <c r="W16" s="13"/>
      <c r="X16" s="56"/>
      <c r="Y16" s="77" t="str">
        <f>C16</f>
        <v>Plan 1 nivel
(159  Horas reloj - Niveles B1, B2 o C1)</v>
      </c>
      <c r="Z16" s="78"/>
      <c r="AA16" s="78"/>
      <c r="AB16" s="78"/>
      <c r="AC16" s="78"/>
      <c r="AD16" s="78"/>
      <c r="AE16" s="78"/>
      <c r="AF16" s="114"/>
      <c r="AG16" s="59"/>
      <c r="AH16" s="13"/>
      <c r="AI16" s="56"/>
      <c r="AJ16" s="77" t="str">
        <f>C16</f>
        <v>Plan 1 nivel
(159  Horas reloj - Niveles B1, B2 o C1)</v>
      </c>
      <c r="AK16" s="78"/>
      <c r="AL16" s="78"/>
      <c r="AM16" s="78"/>
      <c r="AN16" s="78"/>
      <c r="AO16" s="78"/>
      <c r="AP16" s="78"/>
      <c r="AQ16" s="79"/>
      <c r="AR16" s="59"/>
      <c r="AS16" s="81"/>
      <c r="AT16" s="56"/>
      <c r="AU16" s="77" t="str">
        <f>C16</f>
        <v>Plan 1 nivel
(159  Horas reloj - Niveles B1, B2 o C1)</v>
      </c>
      <c r="AV16" s="78"/>
      <c r="AW16" s="78"/>
      <c r="AX16" s="78"/>
      <c r="AY16" s="78"/>
      <c r="AZ16" s="78"/>
      <c r="BA16" s="78"/>
      <c r="BB16" s="79"/>
      <c r="BC16" s="59"/>
      <c r="BD16" s="13"/>
    </row>
    <row r="17" ht="13.5" customHeight="1">
      <c r="A17" s="13"/>
      <c r="B17" s="56"/>
      <c r="C17" s="86" t="s">
        <v>13</v>
      </c>
      <c r="D17" s="87" t="s">
        <v>14</v>
      </c>
      <c r="E17" s="87" t="s">
        <v>16</v>
      </c>
      <c r="F17" s="83" t="s">
        <v>17</v>
      </c>
      <c r="G17" s="83" t="s">
        <v>18</v>
      </c>
      <c r="H17" s="87" t="s">
        <v>19</v>
      </c>
      <c r="I17" s="117" t="s">
        <v>20</v>
      </c>
      <c r="J17" s="85" t="s">
        <v>22</v>
      </c>
      <c r="K17" s="59"/>
      <c r="L17" s="13"/>
      <c r="M17" s="56"/>
      <c r="N17" s="86" t="s">
        <v>13</v>
      </c>
      <c r="O17" s="87" t="s">
        <v>14</v>
      </c>
      <c r="P17" s="87" t="s">
        <v>16</v>
      </c>
      <c r="Q17" s="83" t="s">
        <v>17</v>
      </c>
      <c r="R17" s="83" t="s">
        <v>18</v>
      </c>
      <c r="S17" s="87" t="s">
        <v>19</v>
      </c>
      <c r="T17" s="117" t="s">
        <v>20</v>
      </c>
      <c r="U17" s="85" t="s">
        <v>22</v>
      </c>
      <c r="V17" s="59"/>
      <c r="W17" s="81"/>
      <c r="X17" s="56"/>
      <c r="Y17" s="86" t="s">
        <v>13</v>
      </c>
      <c r="Z17" s="87" t="s">
        <v>14</v>
      </c>
      <c r="AA17" s="87" t="s">
        <v>16</v>
      </c>
      <c r="AB17" s="83" t="s">
        <v>17</v>
      </c>
      <c r="AC17" s="83" t="s">
        <v>18</v>
      </c>
      <c r="AD17" s="87" t="s">
        <v>19</v>
      </c>
      <c r="AE17" s="117" t="s">
        <v>20</v>
      </c>
      <c r="AF17" s="85" t="s">
        <v>22</v>
      </c>
      <c r="AG17" s="59"/>
      <c r="AH17" s="81"/>
      <c r="AI17" s="56"/>
      <c r="AJ17" s="86" t="s">
        <v>13</v>
      </c>
      <c r="AK17" s="87" t="s">
        <v>14</v>
      </c>
      <c r="AL17" s="87" t="s">
        <v>16</v>
      </c>
      <c r="AM17" s="83" t="s">
        <v>17</v>
      </c>
      <c r="AN17" s="83" t="s">
        <v>18</v>
      </c>
      <c r="AO17" s="87" t="s">
        <v>19</v>
      </c>
      <c r="AP17" s="117" t="s">
        <v>20</v>
      </c>
      <c r="AQ17" s="85" t="s">
        <v>22</v>
      </c>
      <c r="AR17" s="59"/>
      <c r="AS17" s="91"/>
      <c r="AT17" s="56"/>
      <c r="AU17" s="82" t="s">
        <v>13</v>
      </c>
      <c r="AV17" s="83" t="s">
        <v>14</v>
      </c>
      <c r="AW17" s="83" t="s">
        <v>16</v>
      </c>
      <c r="AX17" s="83" t="s">
        <v>17</v>
      </c>
      <c r="AY17" s="83" t="s">
        <v>18</v>
      </c>
      <c r="AZ17" s="83" t="s">
        <v>19</v>
      </c>
      <c r="BA17" s="84" t="s">
        <v>20</v>
      </c>
      <c r="BB17" s="85" t="s">
        <v>22</v>
      </c>
      <c r="BC17" s="59"/>
      <c r="BD17" s="81"/>
    </row>
    <row r="18" ht="13.5" customHeight="1">
      <c r="A18" s="13"/>
      <c r="B18" s="56"/>
      <c r="C18" s="92" t="str">
        <f>'[2]IPC 2025'!E5</f>
        <v>#REF!</v>
      </c>
      <c r="D18" s="93">
        <v>1.0</v>
      </c>
      <c r="E18" s="94">
        <v>0.1</v>
      </c>
      <c r="F18" s="95" t="str">
        <f>H18</f>
        <v>#REF!</v>
      </c>
      <c r="G18" s="95">
        <v>0.0</v>
      </c>
      <c r="H18" s="95" t="str">
        <f>C18-(C18*E18)</f>
        <v>#REF!</v>
      </c>
      <c r="I18" s="118" t="str">
        <f>H18/J18</f>
        <v>#REF!</v>
      </c>
      <c r="J18" s="93">
        <v>159.0</v>
      </c>
      <c r="K18" s="59"/>
      <c r="L18" s="13"/>
      <c r="M18" s="56"/>
      <c r="N18" s="92" t="str">
        <f>C18</f>
        <v>#REF!</v>
      </c>
      <c r="O18" s="93">
        <v>1.0</v>
      </c>
      <c r="P18" s="94" t="str">
        <f>(N18-S18)/N18</f>
        <v>#REF!</v>
      </c>
      <c r="Q18" s="95" t="str">
        <f>S18</f>
        <v>#REF!</v>
      </c>
      <c r="R18" s="95">
        <v>0.0</v>
      </c>
      <c r="S18" s="95" t="str">
        <f t="shared" ref="S18:S19" si="9">H18*0.95</f>
        <v>#REF!</v>
      </c>
      <c r="T18" s="118" t="str">
        <f>S18/U18</f>
        <v>#REF!</v>
      </c>
      <c r="U18" s="93">
        <v>159.0</v>
      </c>
      <c r="V18" s="59"/>
      <c r="W18" s="91"/>
      <c r="X18" s="56"/>
      <c r="Y18" s="92" t="str">
        <f>+C18</f>
        <v>#REF!</v>
      </c>
      <c r="Z18" s="93">
        <v>1.0</v>
      </c>
      <c r="AA18" s="94" t="str">
        <f>(Y18-AD18)/Y18</f>
        <v>#REF!</v>
      </c>
      <c r="AB18" s="95" t="str">
        <f>AD18</f>
        <v>#REF!</v>
      </c>
      <c r="AC18" s="95">
        <v>0.0</v>
      </c>
      <c r="AD18" s="95" t="str">
        <f t="shared" ref="AD18:AD19" si="10">H18*0.9</f>
        <v>#REF!</v>
      </c>
      <c r="AE18" s="118" t="str">
        <f>AD18/AF18</f>
        <v>#REF!</v>
      </c>
      <c r="AF18" s="93">
        <v>159.0</v>
      </c>
      <c r="AG18" s="59"/>
      <c r="AH18" s="91"/>
      <c r="AI18" s="56"/>
      <c r="AJ18" s="92" t="str">
        <f>+C18</f>
        <v>#REF!</v>
      </c>
      <c r="AK18" s="93">
        <v>1.0</v>
      </c>
      <c r="AL18" s="94" t="str">
        <f>(AJ18-AO18)/AJ18</f>
        <v>#REF!</v>
      </c>
      <c r="AM18" s="95" t="str">
        <f>AO18</f>
        <v>#REF!</v>
      </c>
      <c r="AN18" s="95">
        <v>0.0</v>
      </c>
      <c r="AO18" s="95" t="str">
        <f t="shared" ref="AO18:AO19" si="11">H18*0.85</f>
        <v>#REF!</v>
      </c>
      <c r="AP18" s="118" t="str">
        <f>AO18/AQ18</f>
        <v>#REF!</v>
      </c>
      <c r="AQ18" s="93">
        <v>159.0</v>
      </c>
      <c r="AR18" s="59"/>
      <c r="AS18" s="19"/>
      <c r="AT18" s="56"/>
      <c r="AU18" s="92" t="str">
        <f>+C18</f>
        <v>#REF!</v>
      </c>
      <c r="AV18" s="93">
        <v>1.0</v>
      </c>
      <c r="AW18" s="94" t="str">
        <f>(AU18-AZ18)/AU18</f>
        <v>#REF!</v>
      </c>
      <c r="AX18" s="95" t="str">
        <f>AZ18</f>
        <v>#REF!</v>
      </c>
      <c r="AY18" s="95">
        <v>0.0</v>
      </c>
      <c r="AZ18" s="95" t="str">
        <f t="shared" ref="AZ18:AZ19" si="12">H18*0.8</f>
        <v>#REF!</v>
      </c>
      <c r="BA18" s="95" t="str">
        <f>AZ18/BB18</f>
        <v>#REF!</v>
      </c>
      <c r="BB18" s="93">
        <v>159.0</v>
      </c>
      <c r="BC18" s="59"/>
      <c r="BD18" s="91"/>
    </row>
    <row r="19" ht="13.5" customHeight="1">
      <c r="A19" s="13"/>
      <c r="B19" s="56"/>
      <c r="C19" s="96"/>
      <c r="D19" s="93">
        <v>4.0</v>
      </c>
      <c r="E19" s="94">
        <v>0.0</v>
      </c>
      <c r="F19" s="97" t="str">
        <f>H19/D19</f>
        <v>#REF!</v>
      </c>
      <c r="G19" s="95" t="str">
        <f>(H19-F19)/(D19-1)</f>
        <v>#REF!</v>
      </c>
      <c r="H19" s="95" t="str">
        <f>C18-(C18*E19)</f>
        <v>#REF!</v>
      </c>
      <c r="I19" s="118" t="str">
        <f>H19/J18</f>
        <v>#REF!</v>
      </c>
      <c r="J19" s="99">
        <f>J18/D19</f>
        <v>39.75</v>
      </c>
      <c r="K19" s="59"/>
      <c r="L19" s="13"/>
      <c r="M19" s="56"/>
      <c r="N19" s="96"/>
      <c r="O19" s="93">
        <f>D19</f>
        <v>4</v>
      </c>
      <c r="P19" s="94" t="str">
        <f>(N18-S19)/N18</f>
        <v>#REF!</v>
      </c>
      <c r="Q19" s="97" t="str">
        <f>F19-(F19*5%)</f>
        <v>#REF!</v>
      </c>
      <c r="R19" s="95" t="str">
        <f>(S19-Q19)/(O19-1)</f>
        <v>#REF!</v>
      </c>
      <c r="S19" s="95" t="str">
        <f t="shared" si="9"/>
        <v>#REF!</v>
      </c>
      <c r="T19" s="118" t="str">
        <f>S19/U18</f>
        <v>#REF!</v>
      </c>
      <c r="U19" s="99">
        <f>U18/O19</f>
        <v>39.75</v>
      </c>
      <c r="V19" s="59"/>
      <c r="W19" s="19"/>
      <c r="X19" s="56"/>
      <c r="Y19" s="96"/>
      <c r="Z19" s="93">
        <f>+D19</f>
        <v>4</v>
      </c>
      <c r="AA19" s="94" t="str">
        <f>(Y18-AD19)/Y18</f>
        <v>#REF!</v>
      </c>
      <c r="AB19" s="97" t="str">
        <f>F19-(F19*10%)</f>
        <v>#REF!</v>
      </c>
      <c r="AC19" s="95" t="str">
        <f>(AD19-AB19)/(Z19-1)</f>
        <v>#REF!</v>
      </c>
      <c r="AD19" s="95" t="str">
        <f t="shared" si="10"/>
        <v>#REF!</v>
      </c>
      <c r="AE19" s="118" t="str">
        <f>AD19/AF18</f>
        <v>#REF!</v>
      </c>
      <c r="AF19" s="99">
        <f>AF18/Z19</f>
        <v>39.75</v>
      </c>
      <c r="AG19" s="59"/>
      <c r="AH19" s="19"/>
      <c r="AI19" s="56"/>
      <c r="AJ19" s="96"/>
      <c r="AK19" s="93">
        <f>+D19</f>
        <v>4</v>
      </c>
      <c r="AL19" s="94" t="str">
        <f>(AJ18-AO19)/AJ18</f>
        <v>#REF!</v>
      </c>
      <c r="AM19" s="97" t="str">
        <f>F19-(F19*15%)</f>
        <v>#REF!</v>
      </c>
      <c r="AN19" s="95" t="str">
        <f>(AO19-AM19)/(AK19-1)</f>
        <v>#REF!</v>
      </c>
      <c r="AO19" s="95" t="str">
        <f t="shared" si="11"/>
        <v>#REF!</v>
      </c>
      <c r="AP19" s="118" t="str">
        <f>AO19/AQ18</f>
        <v>#REF!</v>
      </c>
      <c r="AQ19" s="99">
        <f>AQ18/AK19</f>
        <v>39.75</v>
      </c>
      <c r="AR19" s="59"/>
      <c r="AS19" s="147"/>
      <c r="AT19" s="56"/>
      <c r="AU19" s="96"/>
      <c r="AV19" s="93">
        <f>+D19</f>
        <v>4</v>
      </c>
      <c r="AW19" s="94" t="str">
        <f>(AU18-AZ19)/AU18</f>
        <v>#REF!</v>
      </c>
      <c r="AX19" s="97" t="str">
        <f>F19-(F19*20%)</f>
        <v>#REF!</v>
      </c>
      <c r="AY19" s="95" t="str">
        <f>(AZ19-AX19)/(AV19-1)</f>
        <v>#REF!</v>
      </c>
      <c r="AZ19" s="95" t="str">
        <f t="shared" si="12"/>
        <v>#REF!</v>
      </c>
      <c r="BA19" s="95" t="str">
        <f>AZ19/BB18</f>
        <v>#REF!</v>
      </c>
      <c r="BB19" s="99">
        <f>BB18/AV19</f>
        <v>39.75</v>
      </c>
      <c r="BC19" s="59"/>
      <c r="BD19" s="19"/>
    </row>
    <row r="20" ht="13.5" customHeight="1">
      <c r="A20" s="13"/>
      <c r="B20" s="56"/>
      <c r="C20" s="13"/>
      <c r="D20" s="13"/>
      <c r="E20" s="13"/>
      <c r="F20" s="13"/>
      <c r="G20" s="13"/>
      <c r="H20" s="13"/>
      <c r="I20" s="19"/>
      <c r="J20" s="13"/>
      <c r="K20" s="59"/>
      <c r="L20" s="13"/>
      <c r="M20" s="56"/>
      <c r="N20" s="13"/>
      <c r="O20" s="13"/>
      <c r="P20" s="13"/>
      <c r="Q20" s="13"/>
      <c r="R20" s="13"/>
      <c r="S20" s="13"/>
      <c r="T20" s="13"/>
      <c r="U20" s="13"/>
      <c r="V20" s="59"/>
      <c r="W20" s="147"/>
      <c r="X20" s="56"/>
      <c r="Y20" s="13"/>
      <c r="Z20" s="13"/>
      <c r="AA20" s="13"/>
      <c r="AB20" s="13"/>
      <c r="AC20" s="13"/>
      <c r="AD20" s="13"/>
      <c r="AE20" s="13"/>
      <c r="AF20" s="13"/>
      <c r="AG20" s="59"/>
      <c r="AH20" s="147"/>
      <c r="AI20" s="56"/>
      <c r="AJ20" s="13"/>
      <c r="AK20" s="13"/>
      <c r="AL20" s="13"/>
      <c r="AM20" s="13"/>
      <c r="AN20" s="13"/>
      <c r="AO20" s="13"/>
      <c r="AP20" s="13"/>
      <c r="AQ20" s="13"/>
      <c r="AR20" s="59"/>
      <c r="AS20" s="13"/>
      <c r="AT20" s="56"/>
      <c r="AU20" s="13"/>
      <c r="AV20" s="13"/>
      <c r="AW20" s="13"/>
      <c r="AX20" s="13"/>
      <c r="AY20" s="13"/>
      <c r="AZ20" s="13"/>
      <c r="BA20" s="13"/>
      <c r="BB20" s="13"/>
      <c r="BC20" s="59"/>
      <c r="BD20" s="147"/>
    </row>
    <row r="21" ht="13.5" customHeight="1">
      <c r="A21" s="13"/>
      <c r="B21" s="56"/>
      <c r="C21" s="13"/>
      <c r="D21" s="13"/>
      <c r="E21" s="13"/>
      <c r="F21" s="13"/>
      <c r="G21" s="108"/>
      <c r="H21" s="108"/>
      <c r="I21" s="19"/>
      <c r="J21" s="13"/>
      <c r="K21" s="59"/>
      <c r="L21" s="13"/>
      <c r="M21" s="56"/>
      <c r="N21" s="13"/>
      <c r="O21" s="13"/>
      <c r="P21" s="13"/>
      <c r="Q21" s="13"/>
      <c r="R21" s="13"/>
      <c r="S21" s="13"/>
      <c r="T21" s="13"/>
      <c r="U21" s="13"/>
      <c r="V21" s="59"/>
      <c r="W21" s="147"/>
      <c r="X21" s="56"/>
      <c r="Y21" s="13"/>
      <c r="Z21" s="13"/>
      <c r="AA21" s="13"/>
      <c r="AB21" s="13"/>
      <c r="AC21" s="13"/>
      <c r="AD21" s="13"/>
      <c r="AE21" s="13"/>
      <c r="AF21" s="13"/>
      <c r="AG21" s="59"/>
      <c r="AH21" s="147"/>
      <c r="AI21" s="56"/>
      <c r="AJ21" s="13"/>
      <c r="AK21" s="13"/>
      <c r="AL21" s="13"/>
      <c r="AM21" s="13"/>
      <c r="AN21" s="13"/>
      <c r="AO21" s="13"/>
      <c r="AP21" s="13"/>
      <c r="AQ21" s="13"/>
      <c r="AR21" s="59"/>
      <c r="AS21" s="13"/>
      <c r="AT21" s="56"/>
      <c r="AU21" s="13"/>
      <c r="AV21" s="13"/>
      <c r="AW21" s="13"/>
      <c r="AX21" s="13"/>
      <c r="AY21" s="13"/>
      <c r="AZ21" s="13"/>
      <c r="BA21" s="13"/>
      <c r="BB21" s="13"/>
      <c r="BC21" s="59"/>
      <c r="BD21" s="147"/>
    </row>
    <row r="22" ht="34.5" customHeight="1">
      <c r="A22" s="13"/>
      <c r="B22" s="56"/>
      <c r="C22" s="77" t="s">
        <v>58</v>
      </c>
      <c r="D22" s="78"/>
      <c r="E22" s="78"/>
      <c r="F22" s="78"/>
      <c r="G22" s="78"/>
      <c r="H22" s="78"/>
      <c r="I22" s="78"/>
      <c r="J22" s="79"/>
      <c r="K22" s="59"/>
      <c r="L22" s="13"/>
      <c r="M22" s="56"/>
      <c r="N22" s="77" t="str">
        <f>C22</f>
        <v>Plan  2 Niveles 
(204 Horas Reloj - Niveles A1 y A2)</v>
      </c>
      <c r="O22" s="78"/>
      <c r="P22" s="78"/>
      <c r="Q22" s="78"/>
      <c r="R22" s="78"/>
      <c r="S22" s="78"/>
      <c r="T22" s="78"/>
      <c r="U22" s="79"/>
      <c r="V22" s="59"/>
      <c r="W22" s="13"/>
      <c r="X22" s="56"/>
      <c r="Y22" s="77" t="str">
        <f>C22</f>
        <v>Plan  2 Niveles 
(204 Horas Reloj - Niveles A1 y A2)</v>
      </c>
      <c r="Z22" s="78"/>
      <c r="AA22" s="78"/>
      <c r="AB22" s="78"/>
      <c r="AC22" s="78"/>
      <c r="AD22" s="78"/>
      <c r="AE22" s="78"/>
      <c r="AF22" s="114"/>
      <c r="AG22" s="59"/>
      <c r="AH22" s="13"/>
      <c r="AI22" s="56"/>
      <c r="AJ22" s="77" t="str">
        <f>C22</f>
        <v>Plan  2 Niveles 
(204 Horas Reloj - Niveles A1 y A2)</v>
      </c>
      <c r="AK22" s="78"/>
      <c r="AL22" s="78"/>
      <c r="AM22" s="78"/>
      <c r="AN22" s="78"/>
      <c r="AO22" s="78"/>
      <c r="AP22" s="78"/>
      <c r="AQ22" s="79"/>
      <c r="AR22" s="59"/>
      <c r="AS22" s="81"/>
      <c r="AT22" s="56"/>
      <c r="AU22" s="77" t="str">
        <f>C22</f>
        <v>Plan  2 Niveles 
(204 Horas Reloj - Niveles A1 y A2)</v>
      </c>
      <c r="AV22" s="78"/>
      <c r="AW22" s="78"/>
      <c r="AX22" s="78"/>
      <c r="AY22" s="78"/>
      <c r="AZ22" s="78"/>
      <c r="BA22" s="78"/>
      <c r="BB22" s="79"/>
      <c r="BC22" s="59"/>
      <c r="BD22" s="13"/>
    </row>
    <row r="23" ht="13.5" customHeight="1">
      <c r="A23" s="13"/>
      <c r="B23" s="56"/>
      <c r="C23" s="173" t="s">
        <v>13</v>
      </c>
      <c r="D23" s="87" t="s">
        <v>14</v>
      </c>
      <c r="E23" s="87" t="s">
        <v>16</v>
      </c>
      <c r="F23" s="83" t="s">
        <v>17</v>
      </c>
      <c r="G23" s="83" t="s">
        <v>18</v>
      </c>
      <c r="H23" s="87" t="s">
        <v>19</v>
      </c>
      <c r="I23" s="117" t="s">
        <v>20</v>
      </c>
      <c r="J23" s="85" t="s">
        <v>22</v>
      </c>
      <c r="K23" s="59"/>
      <c r="L23" s="13"/>
      <c r="M23" s="56"/>
      <c r="N23" s="173" t="s">
        <v>13</v>
      </c>
      <c r="O23" s="87" t="s">
        <v>14</v>
      </c>
      <c r="P23" s="87" t="s">
        <v>16</v>
      </c>
      <c r="Q23" s="83" t="s">
        <v>17</v>
      </c>
      <c r="R23" s="83" t="s">
        <v>18</v>
      </c>
      <c r="S23" s="87" t="s">
        <v>19</v>
      </c>
      <c r="T23" s="89" t="s">
        <v>20</v>
      </c>
      <c r="U23" s="85" t="s">
        <v>22</v>
      </c>
      <c r="V23" s="59"/>
      <c r="W23" s="81"/>
      <c r="X23" s="56"/>
      <c r="Y23" s="173" t="s">
        <v>13</v>
      </c>
      <c r="Z23" s="87" t="s">
        <v>14</v>
      </c>
      <c r="AA23" s="87" t="s">
        <v>16</v>
      </c>
      <c r="AB23" s="83" t="s">
        <v>17</v>
      </c>
      <c r="AC23" s="83" t="s">
        <v>18</v>
      </c>
      <c r="AD23" s="87" t="s">
        <v>19</v>
      </c>
      <c r="AE23" s="89" t="s">
        <v>20</v>
      </c>
      <c r="AF23" s="85" t="s">
        <v>22</v>
      </c>
      <c r="AG23" s="59"/>
      <c r="AH23" s="81"/>
      <c r="AI23" s="56"/>
      <c r="AJ23" s="173" t="s">
        <v>13</v>
      </c>
      <c r="AK23" s="87" t="s">
        <v>14</v>
      </c>
      <c r="AL23" s="87" t="s">
        <v>16</v>
      </c>
      <c r="AM23" s="83" t="s">
        <v>17</v>
      </c>
      <c r="AN23" s="83" t="s">
        <v>18</v>
      </c>
      <c r="AO23" s="87" t="s">
        <v>19</v>
      </c>
      <c r="AP23" s="117" t="s">
        <v>20</v>
      </c>
      <c r="AQ23" s="85" t="s">
        <v>22</v>
      </c>
      <c r="AR23" s="59"/>
      <c r="AS23" s="91"/>
      <c r="AT23" s="56"/>
      <c r="AU23" s="174" t="s">
        <v>13</v>
      </c>
      <c r="AV23" s="83" t="s">
        <v>14</v>
      </c>
      <c r="AW23" s="83" t="s">
        <v>16</v>
      </c>
      <c r="AX23" s="83" t="s">
        <v>17</v>
      </c>
      <c r="AY23" s="83" t="s">
        <v>18</v>
      </c>
      <c r="AZ23" s="83" t="s">
        <v>19</v>
      </c>
      <c r="BA23" s="84" t="s">
        <v>20</v>
      </c>
      <c r="BB23" s="85" t="s">
        <v>22</v>
      </c>
      <c r="BC23" s="59"/>
      <c r="BD23" s="81"/>
    </row>
    <row r="24" ht="13.5" customHeight="1">
      <c r="A24" s="13"/>
      <c r="B24" s="56"/>
      <c r="C24" s="182" t="str">
        <f>C8+C13</f>
        <v>#REF!</v>
      </c>
      <c r="D24" s="93">
        <v>1.0</v>
      </c>
      <c r="E24" s="94">
        <v>0.15</v>
      </c>
      <c r="F24" s="95" t="str">
        <f>H24</f>
        <v>#REF!</v>
      </c>
      <c r="G24" s="95">
        <v>0.0</v>
      </c>
      <c r="H24" s="95" t="str">
        <f>C24-(C24*E24)</f>
        <v>#REF!</v>
      </c>
      <c r="I24" s="118" t="str">
        <f>H24/J24</f>
        <v>#REF!</v>
      </c>
      <c r="J24" s="93">
        <v>204.0</v>
      </c>
      <c r="K24" s="59"/>
      <c r="L24" s="13"/>
      <c r="M24" s="56"/>
      <c r="N24" s="182" t="str">
        <f>C24</f>
        <v>#REF!</v>
      </c>
      <c r="O24" s="93">
        <v>1.0</v>
      </c>
      <c r="P24" s="94" t="str">
        <f>(N24-S24)/N24</f>
        <v>#REF!</v>
      </c>
      <c r="Q24" s="95" t="str">
        <f>S24</f>
        <v>#REF!</v>
      </c>
      <c r="R24" s="95">
        <v>0.0</v>
      </c>
      <c r="S24" s="95" t="str">
        <f t="shared" ref="S24:S26" si="13">H24*0.95</f>
        <v>#REF!</v>
      </c>
      <c r="T24" s="95" t="str">
        <f>S24/U24</f>
        <v>#REF!</v>
      </c>
      <c r="U24" s="93">
        <v>204.0</v>
      </c>
      <c r="V24" s="59"/>
      <c r="W24" s="91"/>
      <c r="X24" s="56"/>
      <c r="Y24" s="182" t="str">
        <f>C24</f>
        <v>#REF!</v>
      </c>
      <c r="Z24" s="93">
        <v>1.0</v>
      </c>
      <c r="AA24" s="94" t="str">
        <f>(Y24-AD24)/Y24</f>
        <v>#REF!</v>
      </c>
      <c r="AB24" s="95" t="str">
        <f>AD24</f>
        <v>#REF!</v>
      </c>
      <c r="AC24" s="95">
        <v>0.0</v>
      </c>
      <c r="AD24" s="95" t="str">
        <f t="shared" ref="AD24:AD26" si="14">H24*0.9</f>
        <v>#REF!</v>
      </c>
      <c r="AE24" s="95" t="str">
        <f>AD24/AF24</f>
        <v>#REF!</v>
      </c>
      <c r="AF24" s="93">
        <v>204.0</v>
      </c>
      <c r="AG24" s="59"/>
      <c r="AH24" s="91"/>
      <c r="AI24" s="56"/>
      <c r="AJ24" s="182" t="str">
        <f>C24</f>
        <v>#REF!</v>
      </c>
      <c r="AK24" s="93">
        <v>1.0</v>
      </c>
      <c r="AL24" s="94" t="str">
        <f>(AJ24-AO24)/AJ24</f>
        <v>#REF!</v>
      </c>
      <c r="AM24" s="95" t="str">
        <f>AO24</f>
        <v>#REF!</v>
      </c>
      <c r="AN24" s="95">
        <v>0.0</v>
      </c>
      <c r="AO24" s="95" t="str">
        <f t="shared" ref="AO24:AO26" si="15">H24*0.85</f>
        <v>#REF!</v>
      </c>
      <c r="AP24" s="118" t="str">
        <f>AO24/AQ24</f>
        <v>#REF!</v>
      </c>
      <c r="AQ24" s="93">
        <v>204.0</v>
      </c>
      <c r="AR24" s="59"/>
      <c r="AS24" s="19"/>
      <c r="AT24" s="56"/>
      <c r="AU24" s="182" t="str">
        <f>C24</f>
        <v>#REF!</v>
      </c>
      <c r="AV24" s="93">
        <v>1.0</v>
      </c>
      <c r="AW24" s="94" t="str">
        <f>(AU24-AZ24)/AU24</f>
        <v>#REF!</v>
      </c>
      <c r="AX24" s="95" t="str">
        <f>AZ24</f>
        <v>#REF!</v>
      </c>
      <c r="AY24" s="95">
        <v>0.0</v>
      </c>
      <c r="AZ24" s="95" t="str">
        <f t="shared" ref="AZ24:AZ26" si="16">H24*0.8</f>
        <v>#REF!</v>
      </c>
      <c r="BA24" s="95" t="str">
        <f>AZ24/BB24</f>
        <v>#REF!</v>
      </c>
      <c r="BB24" s="93">
        <v>204.0</v>
      </c>
      <c r="BC24" s="59"/>
      <c r="BD24" s="91"/>
    </row>
    <row r="25" ht="13.5" customHeight="1">
      <c r="A25" s="13"/>
      <c r="B25" s="56"/>
      <c r="C25" s="130"/>
      <c r="D25" s="93">
        <v>2.0</v>
      </c>
      <c r="E25" s="94">
        <v>0.1</v>
      </c>
      <c r="F25" s="97" t="str">
        <f t="shared" ref="F25:F26" si="17">H25/D25</f>
        <v>#REF!</v>
      </c>
      <c r="G25" s="95" t="str">
        <f t="shared" ref="G25:G26" si="18">(H25-F25)/(D25-1)</f>
        <v>#REF!</v>
      </c>
      <c r="H25" s="95" t="str">
        <f>C24-(C24*E25)</f>
        <v>#REF!</v>
      </c>
      <c r="I25" s="118" t="str">
        <f>H25/J24</f>
        <v>#REF!</v>
      </c>
      <c r="J25" s="99">
        <f>J24/D25</f>
        <v>102</v>
      </c>
      <c r="K25" s="59"/>
      <c r="L25" s="13"/>
      <c r="M25" s="56"/>
      <c r="N25" s="130"/>
      <c r="O25" s="93">
        <f t="shared" ref="O25:O26" si="19">D25</f>
        <v>2</v>
      </c>
      <c r="P25" s="94" t="str">
        <f>(N24-S25)/N24</f>
        <v>#REF!</v>
      </c>
      <c r="Q25" s="97" t="str">
        <f t="shared" ref="Q25:Q26" si="20">F25-(F25*5%)</f>
        <v>#REF!</v>
      </c>
      <c r="R25" s="95" t="str">
        <f t="shared" ref="R25:R26" si="21">(S25-Q25)/(O25-1)</f>
        <v>#REF!</v>
      </c>
      <c r="S25" s="95" t="str">
        <f t="shared" si="13"/>
        <v>#REF!</v>
      </c>
      <c r="T25" s="118" t="str">
        <f>S25/U24</f>
        <v>#REF!</v>
      </c>
      <c r="U25" s="99">
        <f>U24/O25</f>
        <v>102</v>
      </c>
      <c r="V25" s="59"/>
      <c r="W25" s="91"/>
      <c r="X25" s="56"/>
      <c r="Y25" s="130"/>
      <c r="Z25" s="93">
        <f>D25</f>
        <v>2</v>
      </c>
      <c r="AA25" s="94" t="str">
        <f>(Y24-AD25)/Y24</f>
        <v>#REF!</v>
      </c>
      <c r="AB25" s="97" t="str">
        <f t="shared" ref="AB25:AB26" si="22">F25-(F25*10%)</f>
        <v>#REF!</v>
      </c>
      <c r="AC25" s="95" t="str">
        <f t="shared" ref="AC25:AC26" si="23">(AD25-AB25)/(Z25-1)</f>
        <v>#REF!</v>
      </c>
      <c r="AD25" s="95" t="str">
        <f t="shared" si="14"/>
        <v>#REF!</v>
      </c>
      <c r="AE25" s="118" t="str">
        <f>AD25/AF24</f>
        <v>#REF!</v>
      </c>
      <c r="AF25" s="99">
        <f>AF24/Z25</f>
        <v>102</v>
      </c>
      <c r="AG25" s="59"/>
      <c r="AH25" s="91"/>
      <c r="AI25" s="56"/>
      <c r="AJ25" s="130"/>
      <c r="AK25" s="93">
        <f>D25</f>
        <v>2</v>
      </c>
      <c r="AL25" s="94" t="str">
        <f>(AJ24-AO25)/AJ24</f>
        <v>#REF!</v>
      </c>
      <c r="AM25" s="97" t="str">
        <f t="shared" ref="AM25:AM26" si="24">F25-(F25*15%)</f>
        <v>#REF!</v>
      </c>
      <c r="AN25" s="95" t="str">
        <f t="shared" ref="AN25:AN26" si="25">(AO25-AM25)/(AK25-1)</f>
        <v>#REF!</v>
      </c>
      <c r="AO25" s="95" t="str">
        <f t="shared" si="15"/>
        <v>#REF!</v>
      </c>
      <c r="AP25" s="118" t="str">
        <f>AO25/AQ24</f>
        <v>#REF!</v>
      </c>
      <c r="AQ25" s="99">
        <f>AQ24/AK25</f>
        <v>102</v>
      </c>
      <c r="AR25" s="59"/>
      <c r="AS25" s="19"/>
      <c r="AT25" s="56"/>
      <c r="AU25" s="130"/>
      <c r="AV25" s="93">
        <f>D25</f>
        <v>2</v>
      </c>
      <c r="AW25" s="94" t="str">
        <f>(AU24-AZ25)/AU24</f>
        <v>#REF!</v>
      </c>
      <c r="AX25" s="97" t="str">
        <f t="shared" ref="AX25:AX26" si="26">F25-(F25*20%)</f>
        <v>#REF!</v>
      </c>
      <c r="AY25" s="95" t="str">
        <f t="shared" ref="AY25:AY26" si="27">(AZ25-AX25)/(AV25-1)</f>
        <v>#REF!</v>
      </c>
      <c r="AZ25" s="95" t="str">
        <f t="shared" si="16"/>
        <v>#REF!</v>
      </c>
      <c r="BA25" s="118" t="str">
        <f>AZ25/BB24</f>
        <v>#REF!</v>
      </c>
      <c r="BB25" s="99">
        <f>BB24/AV25</f>
        <v>102</v>
      </c>
      <c r="BC25" s="59"/>
      <c r="BD25" s="91"/>
    </row>
    <row r="26" ht="13.5" customHeight="1">
      <c r="A26" s="13"/>
      <c r="B26" s="56"/>
      <c r="C26" s="96"/>
      <c r="D26" s="93">
        <v>6.0</v>
      </c>
      <c r="E26" s="94">
        <v>0.05</v>
      </c>
      <c r="F26" s="97" t="str">
        <f t="shared" si="17"/>
        <v>#REF!</v>
      </c>
      <c r="G26" s="95" t="str">
        <f t="shared" si="18"/>
        <v>#REF!</v>
      </c>
      <c r="H26" s="95" t="str">
        <f>C24-(C24*E26)</f>
        <v>#REF!</v>
      </c>
      <c r="I26" s="118" t="str">
        <f>H26/J24</f>
        <v>#REF!</v>
      </c>
      <c r="J26" s="99">
        <f>J24/D26</f>
        <v>34</v>
      </c>
      <c r="K26" s="59"/>
      <c r="L26" s="13"/>
      <c r="M26" s="56"/>
      <c r="N26" s="96"/>
      <c r="O26" s="93">
        <f t="shared" si="19"/>
        <v>6</v>
      </c>
      <c r="P26" s="94" t="str">
        <f>(N24-S26)/N24</f>
        <v>#REF!</v>
      </c>
      <c r="Q26" s="97" t="str">
        <f t="shared" si="20"/>
        <v>#REF!</v>
      </c>
      <c r="R26" s="95" t="str">
        <f t="shared" si="21"/>
        <v>#REF!</v>
      </c>
      <c r="S26" s="95" t="str">
        <f t="shared" si="13"/>
        <v>#REF!</v>
      </c>
      <c r="T26" s="95" t="str">
        <f>S26/U24</f>
        <v>#REF!</v>
      </c>
      <c r="U26" s="99">
        <f>U24/O26</f>
        <v>34</v>
      </c>
      <c r="V26" s="59"/>
      <c r="W26" s="19"/>
      <c r="X26" s="56"/>
      <c r="Y26" s="96"/>
      <c r="Z26" s="93">
        <f>+D26</f>
        <v>6</v>
      </c>
      <c r="AA26" s="94" t="str">
        <f>(Y24-AD26)/Y24</f>
        <v>#REF!</v>
      </c>
      <c r="AB26" s="97" t="str">
        <f t="shared" si="22"/>
        <v>#REF!</v>
      </c>
      <c r="AC26" s="95" t="str">
        <f t="shared" si="23"/>
        <v>#REF!</v>
      </c>
      <c r="AD26" s="95" t="str">
        <f t="shared" si="14"/>
        <v>#REF!</v>
      </c>
      <c r="AE26" s="95" t="str">
        <f>AD26/AF24</f>
        <v>#REF!</v>
      </c>
      <c r="AF26" s="99">
        <f>AF24/Z26</f>
        <v>34</v>
      </c>
      <c r="AG26" s="59"/>
      <c r="AH26" s="19"/>
      <c r="AI26" s="56"/>
      <c r="AJ26" s="96"/>
      <c r="AK26" s="93">
        <f>+D26</f>
        <v>6</v>
      </c>
      <c r="AL26" s="94" t="str">
        <f>(AJ24-AO26)/AJ24</f>
        <v>#REF!</v>
      </c>
      <c r="AM26" s="97" t="str">
        <f t="shared" si="24"/>
        <v>#REF!</v>
      </c>
      <c r="AN26" s="95" t="str">
        <f t="shared" si="25"/>
        <v>#REF!</v>
      </c>
      <c r="AO26" s="95" t="str">
        <f t="shared" si="15"/>
        <v>#REF!</v>
      </c>
      <c r="AP26" s="118" t="str">
        <f>AO26/AQ24</f>
        <v>#REF!</v>
      </c>
      <c r="AQ26" s="99">
        <f>AQ24/AK26</f>
        <v>34</v>
      </c>
      <c r="AR26" s="59"/>
      <c r="AS26" s="147"/>
      <c r="AT26" s="56"/>
      <c r="AU26" s="96"/>
      <c r="AV26" s="93">
        <f>+D26</f>
        <v>6</v>
      </c>
      <c r="AW26" s="94" t="str">
        <f>(AU24-AZ26)/AU24</f>
        <v>#REF!</v>
      </c>
      <c r="AX26" s="97" t="str">
        <f t="shared" si="26"/>
        <v>#REF!</v>
      </c>
      <c r="AY26" s="95" t="str">
        <f t="shared" si="27"/>
        <v>#REF!</v>
      </c>
      <c r="AZ26" s="95" t="str">
        <f t="shared" si="16"/>
        <v>#REF!</v>
      </c>
      <c r="BA26" s="95" t="str">
        <f>AZ26/BB24</f>
        <v>#REF!</v>
      </c>
      <c r="BB26" s="99">
        <f>BB24/AV26</f>
        <v>34</v>
      </c>
      <c r="BC26" s="59"/>
      <c r="BD26" s="19"/>
    </row>
    <row r="27" ht="13.5" customHeight="1">
      <c r="A27" s="13"/>
      <c r="B27" s="56"/>
      <c r="C27" s="13"/>
      <c r="D27" s="13"/>
      <c r="E27" s="13"/>
      <c r="F27" s="13"/>
      <c r="G27" s="108"/>
      <c r="H27" s="108"/>
      <c r="I27" s="19"/>
      <c r="J27" s="13"/>
      <c r="K27" s="59"/>
      <c r="L27" s="13"/>
      <c r="M27" s="56"/>
      <c r="N27" s="13"/>
      <c r="O27" s="13"/>
      <c r="P27" s="13"/>
      <c r="Q27" s="13"/>
      <c r="R27" s="13"/>
      <c r="S27" s="13"/>
      <c r="T27" s="13"/>
      <c r="U27" s="13"/>
      <c r="V27" s="59"/>
      <c r="W27" s="147"/>
      <c r="X27" s="56"/>
      <c r="Y27" s="13"/>
      <c r="Z27" s="13"/>
      <c r="AA27" s="13"/>
      <c r="AB27" s="13"/>
      <c r="AC27" s="13"/>
      <c r="AD27" s="13"/>
      <c r="AE27" s="13"/>
      <c r="AF27" s="13"/>
      <c r="AG27" s="59"/>
      <c r="AH27" s="147"/>
      <c r="AI27" s="56"/>
      <c r="AJ27" s="13"/>
      <c r="AK27" s="13"/>
      <c r="AL27" s="13"/>
      <c r="AM27" s="13"/>
      <c r="AN27" s="13"/>
      <c r="AO27" s="13"/>
      <c r="AP27" s="13"/>
      <c r="AQ27" s="13"/>
      <c r="AR27" s="59"/>
      <c r="AS27" s="13"/>
      <c r="AT27" s="56"/>
      <c r="AU27" s="13"/>
      <c r="AV27" s="13"/>
      <c r="AW27" s="13"/>
      <c r="AX27" s="13"/>
      <c r="AY27" s="13"/>
      <c r="AZ27" s="13"/>
      <c r="BA27" s="13"/>
      <c r="BB27" s="13"/>
      <c r="BC27" s="59"/>
      <c r="BD27" s="147"/>
    </row>
    <row r="28" ht="34.5" customHeight="1">
      <c r="A28" s="13"/>
      <c r="B28" s="56"/>
      <c r="C28" s="77" t="s">
        <v>69</v>
      </c>
      <c r="D28" s="78"/>
      <c r="E28" s="78"/>
      <c r="F28" s="78"/>
      <c r="G28" s="78"/>
      <c r="H28" s="78"/>
      <c r="I28" s="78"/>
      <c r="J28" s="79"/>
      <c r="K28" s="59"/>
      <c r="L28" s="13"/>
      <c r="M28" s="56"/>
      <c r="N28" s="77" t="str">
        <f>C28</f>
        <v>Plan 2 Niveles
(273 Horas Reloj - Niveles A2 y B1)</v>
      </c>
      <c r="O28" s="78"/>
      <c r="P28" s="78"/>
      <c r="Q28" s="78"/>
      <c r="R28" s="78"/>
      <c r="S28" s="78"/>
      <c r="T28" s="78"/>
      <c r="U28" s="79"/>
      <c r="V28" s="59"/>
      <c r="W28" s="13"/>
      <c r="X28" s="56"/>
      <c r="Y28" s="77" t="str">
        <f>C28</f>
        <v>Plan 2 Niveles
(273 Horas Reloj - Niveles A2 y B1)</v>
      </c>
      <c r="Z28" s="78"/>
      <c r="AA28" s="78"/>
      <c r="AB28" s="78"/>
      <c r="AC28" s="78"/>
      <c r="AD28" s="78"/>
      <c r="AE28" s="78"/>
      <c r="AF28" s="114"/>
      <c r="AG28" s="59"/>
      <c r="AH28" s="13"/>
      <c r="AI28" s="56"/>
      <c r="AJ28" s="77" t="str">
        <f>C28</f>
        <v>Plan 2 Niveles
(273 Horas Reloj - Niveles A2 y B1)</v>
      </c>
      <c r="AK28" s="78"/>
      <c r="AL28" s="78"/>
      <c r="AM28" s="78"/>
      <c r="AN28" s="78"/>
      <c r="AO28" s="78"/>
      <c r="AP28" s="78"/>
      <c r="AQ28" s="79"/>
      <c r="AR28" s="59"/>
      <c r="AS28" s="81"/>
      <c r="AT28" s="56"/>
      <c r="AU28" s="77" t="str">
        <f>C28</f>
        <v>Plan 2 Niveles
(273 Horas Reloj - Niveles A2 y B1)</v>
      </c>
      <c r="AV28" s="78"/>
      <c r="AW28" s="78"/>
      <c r="AX28" s="78"/>
      <c r="AY28" s="78"/>
      <c r="AZ28" s="78"/>
      <c r="BA28" s="78"/>
      <c r="BB28" s="79"/>
      <c r="BC28" s="59"/>
      <c r="BD28" s="13"/>
    </row>
    <row r="29" ht="13.5" customHeight="1">
      <c r="A29" s="13"/>
      <c r="B29" s="56"/>
      <c r="C29" s="173" t="s">
        <v>13</v>
      </c>
      <c r="D29" s="87" t="s">
        <v>14</v>
      </c>
      <c r="E29" s="87" t="s">
        <v>16</v>
      </c>
      <c r="F29" s="83" t="s">
        <v>17</v>
      </c>
      <c r="G29" s="83" t="s">
        <v>18</v>
      </c>
      <c r="H29" s="87" t="s">
        <v>19</v>
      </c>
      <c r="I29" s="117" t="s">
        <v>20</v>
      </c>
      <c r="J29" s="85" t="s">
        <v>22</v>
      </c>
      <c r="K29" s="59"/>
      <c r="L29" s="13"/>
      <c r="M29" s="56"/>
      <c r="N29" s="173" t="s">
        <v>13</v>
      </c>
      <c r="O29" s="87" t="s">
        <v>14</v>
      </c>
      <c r="P29" s="87" t="s">
        <v>16</v>
      </c>
      <c r="Q29" s="83" t="s">
        <v>17</v>
      </c>
      <c r="R29" s="83" t="s">
        <v>18</v>
      </c>
      <c r="S29" s="87" t="s">
        <v>19</v>
      </c>
      <c r="T29" s="89" t="s">
        <v>20</v>
      </c>
      <c r="U29" s="85" t="s">
        <v>22</v>
      </c>
      <c r="V29" s="59"/>
      <c r="W29" s="81"/>
      <c r="X29" s="56"/>
      <c r="Y29" s="173" t="s">
        <v>13</v>
      </c>
      <c r="Z29" s="87" t="s">
        <v>14</v>
      </c>
      <c r="AA29" s="87" t="s">
        <v>16</v>
      </c>
      <c r="AB29" s="83" t="s">
        <v>17</v>
      </c>
      <c r="AC29" s="83" t="s">
        <v>18</v>
      </c>
      <c r="AD29" s="87" t="s">
        <v>19</v>
      </c>
      <c r="AE29" s="89" t="s">
        <v>20</v>
      </c>
      <c r="AF29" s="85" t="s">
        <v>22</v>
      </c>
      <c r="AG29" s="59"/>
      <c r="AH29" s="81"/>
      <c r="AI29" s="56"/>
      <c r="AJ29" s="173" t="s">
        <v>13</v>
      </c>
      <c r="AK29" s="87" t="s">
        <v>14</v>
      </c>
      <c r="AL29" s="87" t="s">
        <v>16</v>
      </c>
      <c r="AM29" s="83" t="s">
        <v>17</v>
      </c>
      <c r="AN29" s="83" t="s">
        <v>18</v>
      </c>
      <c r="AO29" s="87" t="s">
        <v>19</v>
      </c>
      <c r="AP29" s="117" t="s">
        <v>20</v>
      </c>
      <c r="AQ29" s="85" t="s">
        <v>22</v>
      </c>
      <c r="AR29" s="59"/>
      <c r="AS29" s="91"/>
      <c r="AT29" s="56"/>
      <c r="AU29" s="174" t="s">
        <v>13</v>
      </c>
      <c r="AV29" s="83" t="s">
        <v>14</v>
      </c>
      <c r="AW29" s="83" t="s">
        <v>16</v>
      </c>
      <c r="AX29" s="83" t="s">
        <v>17</v>
      </c>
      <c r="AY29" s="83" t="s">
        <v>18</v>
      </c>
      <c r="AZ29" s="83" t="s">
        <v>19</v>
      </c>
      <c r="BA29" s="84" t="s">
        <v>20</v>
      </c>
      <c r="BB29" s="85" t="s">
        <v>22</v>
      </c>
      <c r="BC29" s="59"/>
      <c r="BD29" s="81"/>
    </row>
    <row r="30" ht="13.5" customHeight="1">
      <c r="A30" s="13"/>
      <c r="B30" s="56"/>
      <c r="C30" s="182" t="str">
        <f>C13+C18</f>
        <v>#REF!</v>
      </c>
      <c r="D30" s="93">
        <v>1.0</v>
      </c>
      <c r="E30" s="94">
        <v>0.15</v>
      </c>
      <c r="F30" s="95" t="str">
        <f>H30</f>
        <v>#REF!</v>
      </c>
      <c r="G30" s="95">
        <v>0.0</v>
      </c>
      <c r="H30" s="95" t="str">
        <f>C30-(C30*E30)</f>
        <v>#REF!</v>
      </c>
      <c r="I30" s="118" t="str">
        <f>H30/J30</f>
        <v>#REF!</v>
      </c>
      <c r="J30" s="93">
        <v>273.0</v>
      </c>
      <c r="K30" s="59"/>
      <c r="L30" s="13"/>
      <c r="M30" s="56"/>
      <c r="N30" s="182" t="str">
        <f>N13+N18</f>
        <v>#REF!</v>
      </c>
      <c r="O30" s="93">
        <v>1.0</v>
      </c>
      <c r="P30" s="94" t="str">
        <f>(N30-S30)/N30</f>
        <v>#REF!</v>
      </c>
      <c r="Q30" s="95" t="str">
        <f>S30</f>
        <v>#REF!</v>
      </c>
      <c r="R30" s="95">
        <v>0.0</v>
      </c>
      <c r="S30" s="95" t="str">
        <f t="shared" ref="S30:S32" si="28">H30*0.95</f>
        <v>#REF!</v>
      </c>
      <c r="T30" s="95" t="str">
        <f>S30/U30</f>
        <v>#REF!</v>
      </c>
      <c r="U30" s="93">
        <v>273.0</v>
      </c>
      <c r="V30" s="59"/>
      <c r="W30" s="91"/>
      <c r="X30" s="56"/>
      <c r="Y30" s="182" t="str">
        <f>Y13+Y18</f>
        <v>#REF!</v>
      </c>
      <c r="Z30" s="93">
        <v>1.0</v>
      </c>
      <c r="AA30" s="94" t="str">
        <f>(Y30-AD30)/Y30</f>
        <v>#REF!</v>
      </c>
      <c r="AB30" s="95" t="str">
        <f>AD30</f>
        <v>#REF!</v>
      </c>
      <c r="AC30" s="95">
        <v>0.0</v>
      </c>
      <c r="AD30" s="95" t="str">
        <f t="shared" ref="AD30:AD32" si="29">H30*0.9</f>
        <v>#REF!</v>
      </c>
      <c r="AE30" s="95" t="str">
        <f>AD30/AF30</f>
        <v>#REF!</v>
      </c>
      <c r="AF30" s="93">
        <v>273.0</v>
      </c>
      <c r="AG30" s="59"/>
      <c r="AH30" s="91"/>
      <c r="AI30" s="56"/>
      <c r="AJ30" s="182" t="str">
        <f>SUM(AJ13+AJ18)</f>
        <v>#REF!</v>
      </c>
      <c r="AK30" s="93">
        <v>1.0</v>
      </c>
      <c r="AL30" s="94" t="str">
        <f>(AJ30-AO30)/AJ30</f>
        <v>#REF!</v>
      </c>
      <c r="AM30" s="95" t="str">
        <f>AO30</f>
        <v>#REF!</v>
      </c>
      <c r="AN30" s="95">
        <v>0.0</v>
      </c>
      <c r="AO30" s="95" t="str">
        <f t="shared" ref="AO30:AO32" si="30">H30*0.85</f>
        <v>#REF!</v>
      </c>
      <c r="AP30" s="118" t="str">
        <f>AO30/AQ30</f>
        <v>#REF!</v>
      </c>
      <c r="AQ30" s="93">
        <v>273.0</v>
      </c>
      <c r="AR30" s="59"/>
      <c r="AS30" s="19"/>
      <c r="AT30" s="56"/>
      <c r="AU30" s="182" t="str">
        <f>SUM(AU13+AU18)</f>
        <v>#REF!</v>
      </c>
      <c r="AV30" s="93">
        <v>1.0</v>
      </c>
      <c r="AW30" s="94" t="str">
        <f>(AU30-AZ30)/AU30</f>
        <v>#REF!</v>
      </c>
      <c r="AX30" s="95" t="str">
        <f>AZ30</f>
        <v>#REF!</v>
      </c>
      <c r="AY30" s="95">
        <v>0.0</v>
      </c>
      <c r="AZ30" s="95" t="str">
        <f t="shared" ref="AZ30:AZ32" si="31">H30*0.8</f>
        <v>#REF!</v>
      </c>
      <c r="BA30" s="95" t="str">
        <f>AZ30/BB30</f>
        <v>#REF!</v>
      </c>
      <c r="BB30" s="93">
        <v>273.0</v>
      </c>
      <c r="BC30" s="59"/>
      <c r="BD30" s="91"/>
    </row>
    <row r="31" ht="13.5" customHeight="1">
      <c r="A31" s="13"/>
      <c r="B31" s="56"/>
      <c r="C31" s="130"/>
      <c r="D31" s="93">
        <v>2.0</v>
      </c>
      <c r="E31" s="94">
        <v>0.1</v>
      </c>
      <c r="F31" s="97" t="str">
        <f t="shared" ref="F31:F32" si="32">H31/D31</f>
        <v>#REF!</v>
      </c>
      <c r="G31" s="95" t="str">
        <f t="shared" ref="G31:G32" si="33">(H31-F31)/(D31-1)</f>
        <v>#REF!</v>
      </c>
      <c r="H31" s="95" t="str">
        <f>C30-(C30*E31)</f>
        <v>#REF!</v>
      </c>
      <c r="I31" s="118" t="str">
        <f>H31/J30</f>
        <v>#REF!</v>
      </c>
      <c r="J31" s="99">
        <f>J30/D31</f>
        <v>136.5</v>
      </c>
      <c r="K31" s="59"/>
      <c r="L31" s="13"/>
      <c r="M31" s="56"/>
      <c r="N31" s="130"/>
      <c r="O31" s="93">
        <f t="shared" ref="O31:O32" si="34">D31</f>
        <v>2</v>
      </c>
      <c r="P31" s="94" t="str">
        <f>(N30-S31)/N30</f>
        <v>#REF!</v>
      </c>
      <c r="Q31" s="97" t="str">
        <f t="shared" ref="Q31:Q32" si="35">F31-(F31*5%)</f>
        <v>#REF!</v>
      </c>
      <c r="R31" s="95" t="str">
        <f t="shared" ref="R31:R32" si="36">(S31-Q31)/(O31-1)</f>
        <v>#REF!</v>
      </c>
      <c r="S31" s="95" t="str">
        <f t="shared" si="28"/>
        <v>#REF!</v>
      </c>
      <c r="T31" s="118" t="str">
        <f>S31/U30</f>
        <v>#REF!</v>
      </c>
      <c r="U31" s="99">
        <f>U30/O31</f>
        <v>136.5</v>
      </c>
      <c r="V31" s="59"/>
      <c r="W31" s="91"/>
      <c r="X31" s="56"/>
      <c r="Y31" s="130"/>
      <c r="Z31" s="93">
        <f>D31</f>
        <v>2</v>
      </c>
      <c r="AA31" s="94" t="str">
        <f>(Y30-AD31)/Y30</f>
        <v>#REF!</v>
      </c>
      <c r="AB31" s="97" t="str">
        <f t="shared" ref="AB31:AB32" si="37">F31-(F31*10%)</f>
        <v>#REF!</v>
      </c>
      <c r="AC31" s="95" t="str">
        <f t="shared" ref="AC31:AC32" si="38">(AD31-AB31)/(Z31-1)</f>
        <v>#REF!</v>
      </c>
      <c r="AD31" s="95" t="str">
        <f t="shared" si="29"/>
        <v>#REF!</v>
      </c>
      <c r="AE31" s="118" t="str">
        <f>AD31/AF30</f>
        <v>#REF!</v>
      </c>
      <c r="AF31" s="99">
        <f>AF30/Z31</f>
        <v>136.5</v>
      </c>
      <c r="AG31" s="59"/>
      <c r="AH31" s="91"/>
      <c r="AI31" s="56"/>
      <c r="AJ31" s="130"/>
      <c r="AK31" s="93">
        <f>D31</f>
        <v>2</v>
      </c>
      <c r="AL31" s="94" t="str">
        <f>(AJ30-AO31)/AJ30</f>
        <v>#REF!</v>
      </c>
      <c r="AM31" s="97" t="str">
        <f t="shared" ref="AM31:AM32" si="39">F31-(F31*15%)</f>
        <v>#REF!</v>
      </c>
      <c r="AN31" s="95" t="str">
        <f t="shared" ref="AN31:AN32" si="40">(AO31-AM31)/(AK31-1)</f>
        <v>#REF!</v>
      </c>
      <c r="AO31" s="95" t="str">
        <f t="shared" si="30"/>
        <v>#REF!</v>
      </c>
      <c r="AP31" s="118" t="str">
        <f>AO31/AQ30</f>
        <v>#REF!</v>
      </c>
      <c r="AQ31" s="99">
        <f>AQ30/AK31</f>
        <v>136.5</v>
      </c>
      <c r="AR31" s="59"/>
      <c r="AS31" s="19"/>
      <c r="AT31" s="56"/>
      <c r="AU31" s="130"/>
      <c r="AV31" s="93">
        <f>D31</f>
        <v>2</v>
      </c>
      <c r="AW31" s="94" t="str">
        <f>(AU30-AZ31)/AU30</f>
        <v>#REF!</v>
      </c>
      <c r="AX31" s="97" t="str">
        <f t="shared" ref="AX31:AX32" si="41">F31-(F31*20%)</f>
        <v>#REF!</v>
      </c>
      <c r="AY31" s="95" t="str">
        <f t="shared" ref="AY31:AY32" si="42">(AZ31-AX31)/(AV31-1)</f>
        <v>#REF!</v>
      </c>
      <c r="AZ31" s="95" t="str">
        <f t="shared" si="31"/>
        <v>#REF!</v>
      </c>
      <c r="BA31" s="118" t="str">
        <f>AZ31/BB30</f>
        <v>#REF!</v>
      </c>
      <c r="BB31" s="99">
        <f>BB30/AV31</f>
        <v>136.5</v>
      </c>
      <c r="BC31" s="59"/>
      <c r="BD31" s="91"/>
    </row>
    <row r="32" ht="13.5" customHeight="1">
      <c r="A32" s="13"/>
      <c r="B32" s="56"/>
      <c r="C32" s="96"/>
      <c r="D32" s="93">
        <v>7.0</v>
      </c>
      <c r="E32" s="94">
        <v>0.05</v>
      </c>
      <c r="F32" s="97" t="str">
        <f t="shared" si="32"/>
        <v>#REF!</v>
      </c>
      <c r="G32" s="95" t="str">
        <f t="shared" si="33"/>
        <v>#REF!</v>
      </c>
      <c r="H32" s="95" t="str">
        <f>C30-(C30*E32)</f>
        <v>#REF!</v>
      </c>
      <c r="I32" s="118" t="str">
        <f>H32/J30</f>
        <v>#REF!</v>
      </c>
      <c r="J32" s="99">
        <f>J30/D32</f>
        <v>39</v>
      </c>
      <c r="K32" s="59"/>
      <c r="L32" s="13"/>
      <c r="M32" s="56"/>
      <c r="N32" s="96"/>
      <c r="O32" s="93">
        <f t="shared" si="34"/>
        <v>7</v>
      </c>
      <c r="P32" s="94" t="str">
        <f>(N30-S32)/N30</f>
        <v>#REF!</v>
      </c>
      <c r="Q32" s="97" t="str">
        <f t="shared" si="35"/>
        <v>#REF!</v>
      </c>
      <c r="R32" s="95" t="str">
        <f t="shared" si="36"/>
        <v>#REF!</v>
      </c>
      <c r="S32" s="95" t="str">
        <f t="shared" si="28"/>
        <v>#REF!</v>
      </c>
      <c r="T32" s="95" t="str">
        <f>S32/U30</f>
        <v>#REF!</v>
      </c>
      <c r="U32" s="99">
        <f>U30/O32</f>
        <v>39</v>
      </c>
      <c r="V32" s="59"/>
      <c r="W32" s="19"/>
      <c r="X32" s="56"/>
      <c r="Y32" s="96"/>
      <c r="Z32" s="93">
        <f>+D32</f>
        <v>7</v>
      </c>
      <c r="AA32" s="94" t="str">
        <f>(Y30-AD32)/Y30</f>
        <v>#REF!</v>
      </c>
      <c r="AB32" s="97" t="str">
        <f t="shared" si="37"/>
        <v>#REF!</v>
      </c>
      <c r="AC32" s="95" t="str">
        <f t="shared" si="38"/>
        <v>#REF!</v>
      </c>
      <c r="AD32" s="95" t="str">
        <f t="shared" si="29"/>
        <v>#REF!</v>
      </c>
      <c r="AE32" s="95" t="str">
        <f>AD32/AF30</f>
        <v>#REF!</v>
      </c>
      <c r="AF32" s="99">
        <f>AF30/Z32</f>
        <v>39</v>
      </c>
      <c r="AG32" s="59"/>
      <c r="AH32" s="19"/>
      <c r="AI32" s="56"/>
      <c r="AJ32" s="96"/>
      <c r="AK32" s="93">
        <f>+D32</f>
        <v>7</v>
      </c>
      <c r="AL32" s="94" t="str">
        <f>(AJ30-AO32)/AJ30</f>
        <v>#REF!</v>
      </c>
      <c r="AM32" s="97" t="str">
        <f t="shared" si="39"/>
        <v>#REF!</v>
      </c>
      <c r="AN32" s="95" t="str">
        <f t="shared" si="40"/>
        <v>#REF!</v>
      </c>
      <c r="AO32" s="95" t="str">
        <f t="shared" si="30"/>
        <v>#REF!</v>
      </c>
      <c r="AP32" s="118" t="str">
        <f>AO32/AQ30</f>
        <v>#REF!</v>
      </c>
      <c r="AQ32" s="99">
        <f>AQ30/AK32</f>
        <v>39</v>
      </c>
      <c r="AR32" s="59"/>
      <c r="AS32" s="147"/>
      <c r="AT32" s="56"/>
      <c r="AU32" s="96"/>
      <c r="AV32" s="93">
        <f>+D32</f>
        <v>7</v>
      </c>
      <c r="AW32" s="94" t="str">
        <f>(AU30-AZ32)/AU30</f>
        <v>#REF!</v>
      </c>
      <c r="AX32" s="97" t="str">
        <f t="shared" si="41"/>
        <v>#REF!</v>
      </c>
      <c r="AY32" s="95" t="str">
        <f t="shared" si="42"/>
        <v>#REF!</v>
      </c>
      <c r="AZ32" s="95" t="str">
        <f t="shared" si="31"/>
        <v>#REF!</v>
      </c>
      <c r="BA32" s="95" t="str">
        <f>AZ32/BB30</f>
        <v>#REF!</v>
      </c>
      <c r="BB32" s="99">
        <f>BB30/AV32</f>
        <v>39</v>
      </c>
      <c r="BC32" s="59"/>
      <c r="BD32" s="19"/>
    </row>
    <row r="33" ht="13.5" customHeight="1">
      <c r="A33" s="13"/>
      <c r="B33" s="56"/>
      <c r="C33" s="13"/>
      <c r="D33" s="13"/>
      <c r="E33" s="13"/>
      <c r="F33" s="13"/>
      <c r="G33" s="13"/>
      <c r="H33" s="108"/>
      <c r="I33" s="19"/>
      <c r="J33" s="13"/>
      <c r="K33" s="59"/>
      <c r="L33" s="13"/>
      <c r="M33" s="56"/>
      <c r="N33" s="13"/>
      <c r="O33" s="13"/>
      <c r="P33" s="13"/>
      <c r="Q33" s="13"/>
      <c r="R33" s="13"/>
      <c r="S33" s="13"/>
      <c r="T33" s="13"/>
      <c r="U33" s="13"/>
      <c r="V33" s="59"/>
      <c r="W33" s="147"/>
      <c r="X33" s="56"/>
      <c r="Y33" s="13"/>
      <c r="Z33" s="13"/>
      <c r="AA33" s="13"/>
      <c r="AB33" s="13"/>
      <c r="AC33" s="13"/>
      <c r="AD33" s="13"/>
      <c r="AE33" s="13"/>
      <c r="AF33" s="13"/>
      <c r="AG33" s="59"/>
      <c r="AH33" s="147"/>
      <c r="AI33" s="56"/>
      <c r="AJ33" s="13"/>
      <c r="AK33" s="13"/>
      <c r="AL33" s="13"/>
      <c r="AM33" s="13"/>
      <c r="AN33" s="13"/>
      <c r="AO33" s="13"/>
      <c r="AP33" s="13"/>
      <c r="AQ33" s="13"/>
      <c r="AR33" s="59"/>
      <c r="AS33" s="13"/>
      <c r="AT33" s="56"/>
      <c r="AU33" s="13"/>
      <c r="AV33" s="13"/>
      <c r="AW33" s="13"/>
      <c r="AX33" s="13"/>
      <c r="AY33" s="13"/>
      <c r="AZ33" s="13"/>
      <c r="BA33" s="13"/>
      <c r="BB33" s="13"/>
      <c r="BC33" s="59"/>
      <c r="BD33" s="147"/>
    </row>
    <row r="34" ht="32.25" customHeight="1">
      <c r="A34" s="13"/>
      <c r="B34" s="56"/>
      <c r="C34" s="77" t="s">
        <v>73</v>
      </c>
      <c r="D34" s="78"/>
      <c r="E34" s="78"/>
      <c r="F34" s="78"/>
      <c r="G34" s="78"/>
      <c r="H34" s="78"/>
      <c r="I34" s="78"/>
      <c r="J34" s="79"/>
      <c r="K34" s="59"/>
      <c r="L34" s="13"/>
      <c r="M34" s="56"/>
      <c r="N34" s="77" t="str">
        <f>C34</f>
        <v>Plan 2 Niveles
(318 Horas Reloj - Niveles B1 y B2)</v>
      </c>
      <c r="O34" s="78"/>
      <c r="P34" s="78"/>
      <c r="Q34" s="78"/>
      <c r="R34" s="78"/>
      <c r="S34" s="78"/>
      <c r="T34" s="78"/>
      <c r="U34" s="79"/>
      <c r="V34" s="59"/>
      <c r="W34" s="13"/>
      <c r="X34" s="56"/>
      <c r="Y34" s="77" t="str">
        <f>C34</f>
        <v>Plan 2 Niveles
(318 Horas Reloj - Niveles B1 y B2)</v>
      </c>
      <c r="Z34" s="78"/>
      <c r="AA34" s="78"/>
      <c r="AB34" s="78"/>
      <c r="AC34" s="78"/>
      <c r="AD34" s="78"/>
      <c r="AE34" s="78"/>
      <c r="AF34" s="114"/>
      <c r="AG34" s="59"/>
      <c r="AH34" s="13"/>
      <c r="AI34" s="56"/>
      <c r="AJ34" s="77" t="str">
        <f>C34</f>
        <v>Plan 2 Niveles
(318 Horas Reloj - Niveles B1 y B2)</v>
      </c>
      <c r="AK34" s="78"/>
      <c r="AL34" s="78"/>
      <c r="AM34" s="78"/>
      <c r="AN34" s="78"/>
      <c r="AO34" s="78"/>
      <c r="AP34" s="78"/>
      <c r="AQ34" s="79"/>
      <c r="AR34" s="59"/>
      <c r="AS34" s="81"/>
      <c r="AT34" s="56"/>
      <c r="AU34" s="77" t="str">
        <f>C34</f>
        <v>Plan 2 Niveles
(318 Horas Reloj - Niveles B1 y B2)</v>
      </c>
      <c r="AV34" s="78"/>
      <c r="AW34" s="78"/>
      <c r="AX34" s="78"/>
      <c r="AY34" s="78"/>
      <c r="AZ34" s="78"/>
      <c r="BA34" s="78"/>
      <c r="BB34" s="79"/>
      <c r="BC34" s="59"/>
      <c r="BD34" s="13"/>
    </row>
    <row r="35" ht="13.5" customHeight="1">
      <c r="A35" s="13"/>
      <c r="B35" s="56"/>
      <c r="C35" s="173" t="s">
        <v>13</v>
      </c>
      <c r="D35" s="87" t="s">
        <v>14</v>
      </c>
      <c r="E35" s="87" t="s">
        <v>16</v>
      </c>
      <c r="F35" s="83" t="s">
        <v>17</v>
      </c>
      <c r="G35" s="83" t="s">
        <v>18</v>
      </c>
      <c r="H35" s="87" t="s">
        <v>19</v>
      </c>
      <c r="I35" s="117" t="s">
        <v>20</v>
      </c>
      <c r="J35" s="85" t="s">
        <v>22</v>
      </c>
      <c r="K35" s="59"/>
      <c r="L35" s="13"/>
      <c r="M35" s="56"/>
      <c r="N35" s="173" t="s">
        <v>13</v>
      </c>
      <c r="O35" s="87" t="s">
        <v>14</v>
      </c>
      <c r="P35" s="87" t="s">
        <v>16</v>
      </c>
      <c r="Q35" s="83" t="s">
        <v>17</v>
      </c>
      <c r="R35" s="83" t="s">
        <v>18</v>
      </c>
      <c r="S35" s="87" t="s">
        <v>19</v>
      </c>
      <c r="T35" s="89" t="s">
        <v>20</v>
      </c>
      <c r="U35" s="85" t="s">
        <v>22</v>
      </c>
      <c r="V35" s="59"/>
      <c r="W35" s="81"/>
      <c r="X35" s="56"/>
      <c r="Y35" s="173" t="s">
        <v>13</v>
      </c>
      <c r="Z35" s="87" t="s">
        <v>14</v>
      </c>
      <c r="AA35" s="87" t="s">
        <v>16</v>
      </c>
      <c r="AB35" s="83" t="s">
        <v>17</v>
      </c>
      <c r="AC35" s="83" t="s">
        <v>18</v>
      </c>
      <c r="AD35" s="87" t="s">
        <v>19</v>
      </c>
      <c r="AE35" s="89" t="s">
        <v>20</v>
      </c>
      <c r="AF35" s="85" t="s">
        <v>22</v>
      </c>
      <c r="AG35" s="59"/>
      <c r="AH35" s="81"/>
      <c r="AI35" s="56"/>
      <c r="AJ35" s="173" t="s">
        <v>13</v>
      </c>
      <c r="AK35" s="87" t="s">
        <v>14</v>
      </c>
      <c r="AL35" s="87" t="s">
        <v>16</v>
      </c>
      <c r="AM35" s="83" t="s">
        <v>17</v>
      </c>
      <c r="AN35" s="83" t="s">
        <v>18</v>
      </c>
      <c r="AO35" s="87" t="s">
        <v>19</v>
      </c>
      <c r="AP35" s="117" t="s">
        <v>20</v>
      </c>
      <c r="AQ35" s="85" t="s">
        <v>22</v>
      </c>
      <c r="AR35" s="59"/>
      <c r="AS35" s="91"/>
      <c r="AT35" s="56"/>
      <c r="AU35" s="174" t="s">
        <v>13</v>
      </c>
      <c r="AV35" s="83" t="s">
        <v>14</v>
      </c>
      <c r="AW35" s="83" t="s">
        <v>16</v>
      </c>
      <c r="AX35" s="83" t="s">
        <v>17</v>
      </c>
      <c r="AY35" s="83" t="s">
        <v>18</v>
      </c>
      <c r="AZ35" s="83" t="s">
        <v>19</v>
      </c>
      <c r="BA35" s="84" t="s">
        <v>20</v>
      </c>
      <c r="BB35" s="85" t="s">
        <v>22</v>
      </c>
      <c r="BC35" s="59"/>
      <c r="BD35" s="81"/>
    </row>
    <row r="36" ht="13.5" customHeight="1">
      <c r="A36" s="13"/>
      <c r="B36" s="56"/>
      <c r="C36" s="182" t="str">
        <f>C18+C18</f>
        <v>#REF!</v>
      </c>
      <c r="D36" s="93">
        <v>1.0</v>
      </c>
      <c r="E36" s="94">
        <v>0.15</v>
      </c>
      <c r="F36" s="95" t="str">
        <f>H36</f>
        <v>#REF!</v>
      </c>
      <c r="G36" s="95">
        <v>0.0</v>
      </c>
      <c r="H36" s="95" t="str">
        <f>C36-(C36*E36)</f>
        <v>#REF!</v>
      </c>
      <c r="I36" s="118" t="str">
        <f>H36/J36</f>
        <v>#REF!</v>
      </c>
      <c r="J36" s="93">
        <v>318.0</v>
      </c>
      <c r="K36" s="59"/>
      <c r="L36" s="13"/>
      <c r="M36" s="56"/>
      <c r="N36" s="182" t="str">
        <f>N18+N18</f>
        <v>#REF!</v>
      </c>
      <c r="O36" s="93">
        <v>1.0</v>
      </c>
      <c r="P36" s="94" t="str">
        <f>(N36-S36)/N36</f>
        <v>#REF!</v>
      </c>
      <c r="Q36" s="95" t="str">
        <f>S36</f>
        <v>#REF!</v>
      </c>
      <c r="R36" s="95">
        <v>0.0</v>
      </c>
      <c r="S36" s="95" t="str">
        <f t="shared" ref="S36:S38" si="43">H36*0.95</f>
        <v>#REF!</v>
      </c>
      <c r="T36" s="95" t="str">
        <f>S36/U36</f>
        <v>#REF!</v>
      </c>
      <c r="U36" s="93">
        <v>318.0</v>
      </c>
      <c r="V36" s="59"/>
      <c r="W36" s="91"/>
      <c r="X36" s="56"/>
      <c r="Y36" s="182" t="str">
        <f>Y18+Y18</f>
        <v>#REF!</v>
      </c>
      <c r="Z36" s="93">
        <v>1.0</v>
      </c>
      <c r="AA36" s="94" t="str">
        <f>(Y36-AD36)/Y36</f>
        <v>#REF!</v>
      </c>
      <c r="AB36" s="95" t="str">
        <f>AD36</f>
        <v>#REF!</v>
      </c>
      <c r="AC36" s="95">
        <v>0.0</v>
      </c>
      <c r="AD36" s="95" t="str">
        <f t="shared" ref="AD36:AD38" si="44">H36*0.9</f>
        <v>#REF!</v>
      </c>
      <c r="AE36" s="95" t="str">
        <f>AD36/AF36</f>
        <v>#REF!</v>
      </c>
      <c r="AF36" s="93">
        <v>318.0</v>
      </c>
      <c r="AG36" s="59"/>
      <c r="AH36" s="91"/>
      <c r="AI36" s="56"/>
      <c r="AJ36" s="182" t="str">
        <f>SUM(AJ18+AJ18)</f>
        <v>#REF!</v>
      </c>
      <c r="AK36" s="93">
        <v>1.0</v>
      </c>
      <c r="AL36" s="94" t="str">
        <f>(AJ36-AO36)/AJ36</f>
        <v>#REF!</v>
      </c>
      <c r="AM36" s="95" t="str">
        <f>AO36</f>
        <v>#REF!</v>
      </c>
      <c r="AN36" s="95">
        <v>0.0</v>
      </c>
      <c r="AO36" s="95" t="str">
        <f t="shared" ref="AO36:AO38" si="45">H36*0.85</f>
        <v>#REF!</v>
      </c>
      <c r="AP36" s="118" t="str">
        <f>AO36/AQ36</f>
        <v>#REF!</v>
      </c>
      <c r="AQ36" s="93">
        <v>318.0</v>
      </c>
      <c r="AR36" s="59"/>
      <c r="AS36" s="19"/>
      <c r="AT36" s="56"/>
      <c r="AU36" s="182" t="str">
        <f>SUM(AU18+AU18)</f>
        <v>#REF!</v>
      </c>
      <c r="AV36" s="93">
        <v>1.0</v>
      </c>
      <c r="AW36" s="94" t="str">
        <f>(AU36-AZ36)/AU36</f>
        <v>#REF!</v>
      </c>
      <c r="AX36" s="95" t="str">
        <f>AZ36</f>
        <v>#REF!</v>
      </c>
      <c r="AY36" s="95">
        <v>0.0</v>
      </c>
      <c r="AZ36" s="95" t="str">
        <f t="shared" ref="AZ36:AZ38" si="46">H36*0.8</f>
        <v>#REF!</v>
      </c>
      <c r="BA36" s="95" t="str">
        <f>AZ36/BB36</f>
        <v>#REF!</v>
      </c>
      <c r="BB36" s="93">
        <v>318.0</v>
      </c>
      <c r="BC36" s="59"/>
      <c r="BD36" s="91"/>
    </row>
    <row r="37" ht="13.5" customHeight="1">
      <c r="A37" s="13"/>
      <c r="B37" s="56"/>
      <c r="C37" s="130"/>
      <c r="D37" s="93">
        <v>2.0</v>
      </c>
      <c r="E37" s="94">
        <v>0.1</v>
      </c>
      <c r="F37" s="97" t="str">
        <f t="shared" ref="F37:F38" si="47">H37/D37</f>
        <v>#REF!</v>
      </c>
      <c r="G37" s="95" t="str">
        <f t="shared" ref="G37:G38" si="48">(H37-F37)/(D37-1)</f>
        <v>#REF!</v>
      </c>
      <c r="H37" s="95" t="str">
        <f>C36-(C36*E37)</f>
        <v>#REF!</v>
      </c>
      <c r="I37" s="118" t="str">
        <f>H37/J36</f>
        <v>#REF!</v>
      </c>
      <c r="J37" s="99">
        <f>J36/D37</f>
        <v>159</v>
      </c>
      <c r="K37" s="59"/>
      <c r="L37" s="13"/>
      <c r="M37" s="56"/>
      <c r="N37" s="130"/>
      <c r="O37" s="93">
        <f t="shared" ref="O37:O38" si="49">D37</f>
        <v>2</v>
      </c>
      <c r="P37" s="94" t="str">
        <f>(N36-S37)/N36</f>
        <v>#REF!</v>
      </c>
      <c r="Q37" s="97" t="str">
        <f t="shared" ref="Q37:Q38" si="50">F37-(F37*5%)</f>
        <v>#REF!</v>
      </c>
      <c r="R37" s="95" t="str">
        <f t="shared" ref="R37:R38" si="51">(S37-Q37)/(O37-1)</f>
        <v>#REF!</v>
      </c>
      <c r="S37" s="95" t="str">
        <f t="shared" si="43"/>
        <v>#REF!</v>
      </c>
      <c r="T37" s="118" t="str">
        <f>S37/U36</f>
        <v>#REF!</v>
      </c>
      <c r="U37" s="99">
        <f>U36/O37</f>
        <v>159</v>
      </c>
      <c r="V37" s="59"/>
      <c r="W37" s="91"/>
      <c r="X37" s="56"/>
      <c r="Y37" s="130"/>
      <c r="Z37" s="93">
        <f>D37</f>
        <v>2</v>
      </c>
      <c r="AA37" s="94" t="str">
        <f>(Y36-AD37)/Y36</f>
        <v>#REF!</v>
      </c>
      <c r="AB37" s="97" t="str">
        <f t="shared" ref="AB37:AB38" si="52">F37-(F37*10%)</f>
        <v>#REF!</v>
      </c>
      <c r="AC37" s="95" t="str">
        <f t="shared" ref="AC37:AC38" si="53">(AD37-AB37)/(Z37-1)</f>
        <v>#REF!</v>
      </c>
      <c r="AD37" s="95" t="str">
        <f t="shared" si="44"/>
        <v>#REF!</v>
      </c>
      <c r="AE37" s="118" t="str">
        <f>AD37/AF36</f>
        <v>#REF!</v>
      </c>
      <c r="AF37" s="99">
        <f>AF36/Z37</f>
        <v>159</v>
      </c>
      <c r="AG37" s="59"/>
      <c r="AH37" s="91"/>
      <c r="AI37" s="56"/>
      <c r="AJ37" s="130"/>
      <c r="AK37" s="93">
        <f>D37</f>
        <v>2</v>
      </c>
      <c r="AL37" s="94" t="str">
        <f>(AJ36-AO37)/AJ36</f>
        <v>#REF!</v>
      </c>
      <c r="AM37" s="97" t="str">
        <f t="shared" ref="AM37:AM38" si="54">F37-(F37*15%)</f>
        <v>#REF!</v>
      </c>
      <c r="AN37" s="95" t="str">
        <f t="shared" ref="AN37:AN38" si="55">(AO37-AM37)/(AK37-1)</f>
        <v>#REF!</v>
      </c>
      <c r="AO37" s="95" t="str">
        <f t="shared" si="45"/>
        <v>#REF!</v>
      </c>
      <c r="AP37" s="118" t="str">
        <f>AO37/AQ36</f>
        <v>#REF!</v>
      </c>
      <c r="AQ37" s="99">
        <f>AQ36/AK37</f>
        <v>159</v>
      </c>
      <c r="AR37" s="59"/>
      <c r="AS37" s="19"/>
      <c r="AT37" s="56"/>
      <c r="AU37" s="130"/>
      <c r="AV37" s="93">
        <f>D37</f>
        <v>2</v>
      </c>
      <c r="AW37" s="94" t="str">
        <f>(AU36-AZ37)/AU36</f>
        <v>#REF!</v>
      </c>
      <c r="AX37" s="97" t="str">
        <f t="shared" ref="AX37:AX38" si="56">F37-(F37*20%)</f>
        <v>#REF!</v>
      </c>
      <c r="AY37" s="95" t="str">
        <f t="shared" ref="AY37:AY38" si="57">(AZ37-AX37)/(AV37-1)</f>
        <v>#REF!</v>
      </c>
      <c r="AZ37" s="95" t="str">
        <f t="shared" si="46"/>
        <v>#REF!</v>
      </c>
      <c r="BA37" s="118" t="str">
        <f>AZ37/BB36</f>
        <v>#REF!</v>
      </c>
      <c r="BB37" s="99">
        <f>BB36/AV37</f>
        <v>159</v>
      </c>
      <c r="BC37" s="59"/>
      <c r="BD37" s="91"/>
    </row>
    <row r="38" ht="13.5" customHeight="1">
      <c r="A38" s="13"/>
      <c r="B38" s="56"/>
      <c r="C38" s="96"/>
      <c r="D38" s="93">
        <v>8.0</v>
      </c>
      <c r="E38" s="94">
        <v>0.05</v>
      </c>
      <c r="F38" s="97" t="str">
        <f t="shared" si="47"/>
        <v>#REF!</v>
      </c>
      <c r="G38" s="95" t="str">
        <f t="shared" si="48"/>
        <v>#REF!</v>
      </c>
      <c r="H38" s="95" t="str">
        <f>C36-(C36*E38)</f>
        <v>#REF!</v>
      </c>
      <c r="I38" s="118" t="str">
        <f>H38/J36</f>
        <v>#REF!</v>
      </c>
      <c r="J38" s="99">
        <f>J36/D38</f>
        <v>39.75</v>
      </c>
      <c r="K38" s="59"/>
      <c r="L38" s="13"/>
      <c r="M38" s="56"/>
      <c r="N38" s="96"/>
      <c r="O38" s="93">
        <f t="shared" si="49"/>
        <v>8</v>
      </c>
      <c r="P38" s="94" t="str">
        <f>(N36-S38)/N36</f>
        <v>#REF!</v>
      </c>
      <c r="Q38" s="97" t="str">
        <f t="shared" si="50"/>
        <v>#REF!</v>
      </c>
      <c r="R38" s="95" t="str">
        <f t="shared" si="51"/>
        <v>#REF!</v>
      </c>
      <c r="S38" s="95" t="str">
        <f t="shared" si="43"/>
        <v>#REF!</v>
      </c>
      <c r="T38" s="95" t="str">
        <f>S38/U36</f>
        <v>#REF!</v>
      </c>
      <c r="U38" s="99">
        <f>U36/O38</f>
        <v>39.75</v>
      </c>
      <c r="V38" s="59"/>
      <c r="W38" s="19"/>
      <c r="X38" s="56"/>
      <c r="Y38" s="96"/>
      <c r="Z38" s="93">
        <f>+D38</f>
        <v>8</v>
      </c>
      <c r="AA38" s="94" t="str">
        <f>(Y36-AD38)/Y36</f>
        <v>#REF!</v>
      </c>
      <c r="AB38" s="97" t="str">
        <f t="shared" si="52"/>
        <v>#REF!</v>
      </c>
      <c r="AC38" s="95" t="str">
        <f t="shared" si="53"/>
        <v>#REF!</v>
      </c>
      <c r="AD38" s="95" t="str">
        <f t="shared" si="44"/>
        <v>#REF!</v>
      </c>
      <c r="AE38" s="95" t="str">
        <f>AD38/AF36</f>
        <v>#REF!</v>
      </c>
      <c r="AF38" s="99">
        <f>AF36/Z38</f>
        <v>39.75</v>
      </c>
      <c r="AG38" s="59"/>
      <c r="AH38" s="19"/>
      <c r="AI38" s="56"/>
      <c r="AJ38" s="96"/>
      <c r="AK38" s="93">
        <f>+D38</f>
        <v>8</v>
      </c>
      <c r="AL38" s="94" t="str">
        <f>(AJ36-AO38)/AJ36</f>
        <v>#REF!</v>
      </c>
      <c r="AM38" s="97" t="str">
        <f t="shared" si="54"/>
        <v>#REF!</v>
      </c>
      <c r="AN38" s="95" t="str">
        <f t="shared" si="55"/>
        <v>#REF!</v>
      </c>
      <c r="AO38" s="95" t="str">
        <f t="shared" si="45"/>
        <v>#REF!</v>
      </c>
      <c r="AP38" s="118" t="str">
        <f>AO38/AQ36</f>
        <v>#REF!</v>
      </c>
      <c r="AQ38" s="99">
        <f>AQ36/AK38</f>
        <v>39.75</v>
      </c>
      <c r="AR38" s="59"/>
      <c r="AS38" s="147"/>
      <c r="AT38" s="56"/>
      <c r="AU38" s="96"/>
      <c r="AV38" s="93">
        <f>+D38</f>
        <v>8</v>
      </c>
      <c r="AW38" s="94" t="str">
        <f>(AU36-AZ38)/AU36</f>
        <v>#REF!</v>
      </c>
      <c r="AX38" s="97" t="str">
        <f t="shared" si="56"/>
        <v>#REF!</v>
      </c>
      <c r="AY38" s="95" t="str">
        <f t="shared" si="57"/>
        <v>#REF!</v>
      </c>
      <c r="AZ38" s="95" t="str">
        <f t="shared" si="46"/>
        <v>#REF!</v>
      </c>
      <c r="BA38" s="95" t="str">
        <f>AZ38/BB36</f>
        <v>#REF!</v>
      </c>
      <c r="BB38" s="99">
        <f>BB36/AV38</f>
        <v>39.75</v>
      </c>
      <c r="BC38" s="59"/>
      <c r="BD38" s="19"/>
    </row>
    <row r="39" ht="13.5" customHeight="1">
      <c r="A39" s="13"/>
      <c r="B39" s="56"/>
      <c r="C39" s="13"/>
      <c r="D39" s="13"/>
      <c r="E39" s="13"/>
      <c r="F39" s="13"/>
      <c r="G39" s="13"/>
      <c r="H39" s="13"/>
      <c r="I39" s="19"/>
      <c r="J39" s="13"/>
      <c r="K39" s="59"/>
      <c r="L39" s="13"/>
      <c r="M39" s="56"/>
      <c r="N39" s="13"/>
      <c r="O39" s="13"/>
      <c r="P39" s="13"/>
      <c r="Q39" s="13"/>
      <c r="R39" s="13"/>
      <c r="S39" s="13"/>
      <c r="T39" s="13"/>
      <c r="U39" s="13"/>
      <c r="V39" s="59"/>
      <c r="W39" s="147"/>
      <c r="X39" s="56"/>
      <c r="Y39" s="13"/>
      <c r="Z39" s="13"/>
      <c r="AA39" s="13"/>
      <c r="AB39" s="13"/>
      <c r="AC39" s="13"/>
      <c r="AD39" s="13"/>
      <c r="AE39" s="13"/>
      <c r="AF39" s="13"/>
      <c r="AG39" s="59"/>
      <c r="AH39" s="147"/>
      <c r="AI39" s="56"/>
      <c r="AJ39" s="13"/>
      <c r="AK39" s="13"/>
      <c r="AL39" s="13"/>
      <c r="AM39" s="13"/>
      <c r="AN39" s="13"/>
      <c r="AO39" s="13"/>
      <c r="AP39" s="13"/>
      <c r="AQ39" s="13"/>
      <c r="AR39" s="59"/>
      <c r="AS39" s="13"/>
      <c r="AT39" s="56"/>
      <c r="AU39" s="13"/>
      <c r="AV39" s="13"/>
      <c r="AW39" s="13"/>
      <c r="AX39" s="13"/>
      <c r="AY39" s="13"/>
      <c r="AZ39" s="13"/>
      <c r="BA39" s="13"/>
      <c r="BB39" s="13"/>
      <c r="BC39" s="59"/>
      <c r="BD39" s="147"/>
    </row>
    <row r="40" ht="33.75" customHeight="1">
      <c r="A40" s="13"/>
      <c r="B40" s="56"/>
      <c r="C40" s="77" t="s">
        <v>77</v>
      </c>
      <c r="D40" s="78"/>
      <c r="E40" s="78"/>
      <c r="F40" s="78"/>
      <c r="G40" s="78"/>
      <c r="H40" s="78"/>
      <c r="I40" s="78"/>
      <c r="J40" s="79"/>
      <c r="K40" s="59"/>
      <c r="L40" s="13"/>
      <c r="M40" s="56"/>
      <c r="N40" s="77" t="str">
        <f>C40</f>
        <v>Plan 2 Niveles
(318 Horas Reloj - Niveles B2 y C1)</v>
      </c>
      <c r="O40" s="78"/>
      <c r="P40" s="78"/>
      <c r="Q40" s="78"/>
      <c r="R40" s="78"/>
      <c r="S40" s="78"/>
      <c r="T40" s="78"/>
      <c r="U40" s="79"/>
      <c r="V40" s="59"/>
      <c r="W40" s="13"/>
      <c r="X40" s="56"/>
      <c r="Y40" s="77" t="str">
        <f>C40</f>
        <v>Plan 2 Niveles
(318 Horas Reloj - Niveles B2 y C1)</v>
      </c>
      <c r="Z40" s="78"/>
      <c r="AA40" s="78"/>
      <c r="AB40" s="78"/>
      <c r="AC40" s="78"/>
      <c r="AD40" s="78"/>
      <c r="AE40" s="78"/>
      <c r="AF40" s="114"/>
      <c r="AG40" s="59"/>
      <c r="AH40" s="13"/>
      <c r="AI40" s="56"/>
      <c r="AJ40" s="77" t="str">
        <f>C40</f>
        <v>Plan 2 Niveles
(318 Horas Reloj - Niveles B2 y C1)</v>
      </c>
      <c r="AK40" s="78"/>
      <c r="AL40" s="78"/>
      <c r="AM40" s="78"/>
      <c r="AN40" s="78"/>
      <c r="AO40" s="78"/>
      <c r="AP40" s="78"/>
      <c r="AQ40" s="79"/>
      <c r="AR40" s="59"/>
      <c r="AS40" s="81"/>
      <c r="AT40" s="56"/>
      <c r="AU40" s="77" t="str">
        <f>C40</f>
        <v>Plan 2 Niveles
(318 Horas Reloj - Niveles B2 y C1)</v>
      </c>
      <c r="AV40" s="78"/>
      <c r="AW40" s="78"/>
      <c r="AX40" s="78"/>
      <c r="AY40" s="78"/>
      <c r="AZ40" s="78"/>
      <c r="BA40" s="78"/>
      <c r="BB40" s="79"/>
      <c r="BC40" s="59"/>
      <c r="BD40" s="13"/>
    </row>
    <row r="41" ht="13.5" customHeight="1">
      <c r="A41" s="13"/>
      <c r="B41" s="56"/>
      <c r="C41" s="173" t="s">
        <v>13</v>
      </c>
      <c r="D41" s="87" t="s">
        <v>14</v>
      </c>
      <c r="E41" s="87" t="s">
        <v>16</v>
      </c>
      <c r="F41" s="83" t="s">
        <v>17</v>
      </c>
      <c r="G41" s="83" t="s">
        <v>18</v>
      </c>
      <c r="H41" s="87" t="s">
        <v>19</v>
      </c>
      <c r="I41" s="117" t="s">
        <v>20</v>
      </c>
      <c r="J41" s="85" t="s">
        <v>22</v>
      </c>
      <c r="K41" s="59"/>
      <c r="L41" s="13"/>
      <c r="M41" s="56"/>
      <c r="N41" s="173" t="s">
        <v>13</v>
      </c>
      <c r="O41" s="87" t="s">
        <v>14</v>
      </c>
      <c r="P41" s="87" t="s">
        <v>16</v>
      </c>
      <c r="Q41" s="83" t="s">
        <v>17</v>
      </c>
      <c r="R41" s="83" t="s">
        <v>18</v>
      </c>
      <c r="S41" s="87" t="s">
        <v>19</v>
      </c>
      <c r="T41" s="89" t="s">
        <v>20</v>
      </c>
      <c r="U41" s="85" t="s">
        <v>22</v>
      </c>
      <c r="V41" s="59"/>
      <c r="W41" s="81"/>
      <c r="X41" s="56"/>
      <c r="Y41" s="173" t="s">
        <v>13</v>
      </c>
      <c r="Z41" s="87" t="s">
        <v>14</v>
      </c>
      <c r="AA41" s="87" t="s">
        <v>16</v>
      </c>
      <c r="AB41" s="83" t="s">
        <v>17</v>
      </c>
      <c r="AC41" s="83" t="s">
        <v>18</v>
      </c>
      <c r="AD41" s="87" t="s">
        <v>19</v>
      </c>
      <c r="AE41" s="89" t="s">
        <v>20</v>
      </c>
      <c r="AF41" s="85" t="s">
        <v>22</v>
      </c>
      <c r="AG41" s="59"/>
      <c r="AH41" s="81"/>
      <c r="AI41" s="56"/>
      <c r="AJ41" s="173" t="s">
        <v>13</v>
      </c>
      <c r="AK41" s="87" t="s">
        <v>14</v>
      </c>
      <c r="AL41" s="87" t="s">
        <v>16</v>
      </c>
      <c r="AM41" s="83" t="s">
        <v>17</v>
      </c>
      <c r="AN41" s="83" t="s">
        <v>18</v>
      </c>
      <c r="AO41" s="87" t="s">
        <v>19</v>
      </c>
      <c r="AP41" s="117" t="s">
        <v>20</v>
      </c>
      <c r="AQ41" s="85" t="s">
        <v>22</v>
      </c>
      <c r="AR41" s="59"/>
      <c r="AS41" s="91"/>
      <c r="AT41" s="56"/>
      <c r="AU41" s="174" t="s">
        <v>13</v>
      </c>
      <c r="AV41" s="83" t="s">
        <v>14</v>
      </c>
      <c r="AW41" s="83" t="s">
        <v>16</v>
      </c>
      <c r="AX41" s="83" t="s">
        <v>17</v>
      </c>
      <c r="AY41" s="83" t="s">
        <v>18</v>
      </c>
      <c r="AZ41" s="83" t="s">
        <v>19</v>
      </c>
      <c r="BA41" s="84" t="s">
        <v>20</v>
      </c>
      <c r="BB41" s="85" t="s">
        <v>22</v>
      </c>
      <c r="BC41" s="59"/>
      <c r="BD41" s="81"/>
    </row>
    <row r="42" ht="13.5" customHeight="1">
      <c r="A42" s="13"/>
      <c r="B42" s="56"/>
      <c r="C42" s="182" t="str">
        <f>C18+C18</f>
        <v>#REF!</v>
      </c>
      <c r="D42" s="93">
        <v>1.0</v>
      </c>
      <c r="E42" s="94">
        <v>0.15</v>
      </c>
      <c r="F42" s="95" t="str">
        <f>H42</f>
        <v>#REF!</v>
      </c>
      <c r="G42" s="95">
        <v>0.0</v>
      </c>
      <c r="H42" s="95" t="str">
        <f>C42-(C42*E42)</f>
        <v>#REF!</v>
      </c>
      <c r="I42" s="118" t="str">
        <f>H42/J42</f>
        <v>#REF!</v>
      </c>
      <c r="J42" s="93">
        <v>318.0</v>
      </c>
      <c r="K42" s="59"/>
      <c r="L42" s="13"/>
      <c r="M42" s="56"/>
      <c r="N42" s="182" t="str">
        <f>C42</f>
        <v>#REF!</v>
      </c>
      <c r="O42" s="93">
        <v>1.0</v>
      </c>
      <c r="P42" s="94" t="str">
        <f>(N42-S42)/N42</f>
        <v>#REF!</v>
      </c>
      <c r="Q42" s="95" t="str">
        <f>S42</f>
        <v>#REF!</v>
      </c>
      <c r="R42" s="95">
        <v>0.0</v>
      </c>
      <c r="S42" s="95" t="str">
        <f t="shared" ref="S42:S44" si="58">H42*0.95</f>
        <v>#REF!</v>
      </c>
      <c r="T42" s="95" t="str">
        <f>S42/U42</f>
        <v>#REF!</v>
      </c>
      <c r="U42" s="93">
        <v>318.0</v>
      </c>
      <c r="V42" s="59"/>
      <c r="W42" s="91"/>
      <c r="X42" s="56"/>
      <c r="Y42" s="182" t="str">
        <f>+C42</f>
        <v>#REF!</v>
      </c>
      <c r="Z42" s="93">
        <v>1.0</v>
      </c>
      <c r="AA42" s="94" t="str">
        <f>(Y42-AD42)/Y42</f>
        <v>#REF!</v>
      </c>
      <c r="AB42" s="95" t="str">
        <f>AD42</f>
        <v>#REF!</v>
      </c>
      <c r="AC42" s="95">
        <v>0.0</v>
      </c>
      <c r="AD42" s="95" t="str">
        <f t="shared" ref="AD42:AD44" si="59">H42*0.9</f>
        <v>#REF!</v>
      </c>
      <c r="AE42" s="95" t="str">
        <f>AD42/AF42</f>
        <v>#REF!</v>
      </c>
      <c r="AF42" s="93">
        <v>318.0</v>
      </c>
      <c r="AG42" s="59"/>
      <c r="AH42" s="91"/>
      <c r="AI42" s="56"/>
      <c r="AJ42" s="182" t="str">
        <f>C42</f>
        <v>#REF!</v>
      </c>
      <c r="AK42" s="93">
        <v>1.0</v>
      </c>
      <c r="AL42" s="94" t="str">
        <f>(AJ42-AO42)/AJ42</f>
        <v>#REF!</v>
      </c>
      <c r="AM42" s="95" t="str">
        <f>AO42</f>
        <v>#REF!</v>
      </c>
      <c r="AN42" s="95">
        <v>0.0</v>
      </c>
      <c r="AO42" s="95" t="str">
        <f t="shared" ref="AO42:AO44" si="60">H42*0.85</f>
        <v>#REF!</v>
      </c>
      <c r="AP42" s="118" t="str">
        <f>AO42/AQ42</f>
        <v>#REF!</v>
      </c>
      <c r="AQ42" s="93">
        <v>318.0</v>
      </c>
      <c r="AR42" s="59"/>
      <c r="AS42" s="19"/>
      <c r="AT42" s="56"/>
      <c r="AU42" s="182" t="str">
        <f>C42</f>
        <v>#REF!</v>
      </c>
      <c r="AV42" s="93">
        <v>1.0</v>
      </c>
      <c r="AW42" s="94" t="str">
        <f>(AU42-AZ42)/AU42</f>
        <v>#REF!</v>
      </c>
      <c r="AX42" s="95" t="str">
        <f>AZ42</f>
        <v>#REF!</v>
      </c>
      <c r="AY42" s="95">
        <v>0.0</v>
      </c>
      <c r="AZ42" s="95" t="str">
        <f t="shared" ref="AZ42:AZ44" si="61">H42*0.8</f>
        <v>#REF!</v>
      </c>
      <c r="BA42" s="95" t="str">
        <f>AZ42/BB42</f>
        <v>#REF!</v>
      </c>
      <c r="BB42" s="93">
        <v>318.0</v>
      </c>
      <c r="BC42" s="59"/>
      <c r="BD42" s="91"/>
    </row>
    <row r="43" ht="13.5" customHeight="1">
      <c r="A43" s="13"/>
      <c r="B43" s="56"/>
      <c r="C43" s="130"/>
      <c r="D43" s="93">
        <v>2.0</v>
      </c>
      <c r="E43" s="94">
        <v>0.1</v>
      </c>
      <c r="F43" s="97" t="str">
        <f t="shared" ref="F43:F44" si="62">H43/D43</f>
        <v>#REF!</v>
      </c>
      <c r="G43" s="95" t="str">
        <f t="shared" ref="G43:G44" si="63">(H43-F43)/(D43-1)</f>
        <v>#REF!</v>
      </c>
      <c r="H43" s="95" t="str">
        <f>C42-(C42*E43)</f>
        <v>#REF!</v>
      </c>
      <c r="I43" s="118" t="str">
        <f>H43/J42</f>
        <v>#REF!</v>
      </c>
      <c r="J43" s="99">
        <f>J42/D43</f>
        <v>159</v>
      </c>
      <c r="K43" s="59"/>
      <c r="L43" s="13"/>
      <c r="M43" s="56"/>
      <c r="N43" s="130"/>
      <c r="O43" s="93">
        <f t="shared" ref="O43:O44" si="64">D43</f>
        <v>2</v>
      </c>
      <c r="P43" s="94" t="str">
        <f>(N42-S43)/N42</f>
        <v>#REF!</v>
      </c>
      <c r="Q43" s="97" t="str">
        <f t="shared" ref="Q43:Q44" si="65">F43-(F43*5%)</f>
        <v>#REF!</v>
      </c>
      <c r="R43" s="95" t="str">
        <f t="shared" ref="R43:R44" si="66">(S43-Q43)/(O43-1)</f>
        <v>#REF!</v>
      </c>
      <c r="S43" s="95" t="str">
        <f t="shared" si="58"/>
        <v>#REF!</v>
      </c>
      <c r="T43" s="118" t="str">
        <f>S43/U42</f>
        <v>#REF!</v>
      </c>
      <c r="U43" s="99">
        <f>U42/O43</f>
        <v>159</v>
      </c>
      <c r="V43" s="59"/>
      <c r="W43" s="91"/>
      <c r="X43" s="56"/>
      <c r="Y43" s="130"/>
      <c r="Z43" s="93">
        <f>D43</f>
        <v>2</v>
      </c>
      <c r="AA43" s="94" t="str">
        <f>(Y42-AD43)/Y42</f>
        <v>#REF!</v>
      </c>
      <c r="AB43" s="97" t="str">
        <f t="shared" ref="AB43:AB44" si="67">F43-(F43*10%)</f>
        <v>#REF!</v>
      </c>
      <c r="AC43" s="95" t="str">
        <f t="shared" ref="AC43:AC44" si="68">(AD43-AB43)/(Z43-1)</f>
        <v>#REF!</v>
      </c>
      <c r="AD43" s="95" t="str">
        <f t="shared" si="59"/>
        <v>#REF!</v>
      </c>
      <c r="AE43" s="118" t="str">
        <f>AD43/AF42</f>
        <v>#REF!</v>
      </c>
      <c r="AF43" s="99">
        <f>AF42/Z43</f>
        <v>159</v>
      </c>
      <c r="AG43" s="59"/>
      <c r="AH43" s="91"/>
      <c r="AI43" s="56"/>
      <c r="AJ43" s="130"/>
      <c r="AK43" s="93">
        <f>D43</f>
        <v>2</v>
      </c>
      <c r="AL43" s="94" t="str">
        <f>(AJ42-AO43)/AJ42</f>
        <v>#REF!</v>
      </c>
      <c r="AM43" s="97" t="str">
        <f t="shared" ref="AM43:AM44" si="69">F43-(F43*15%)</f>
        <v>#REF!</v>
      </c>
      <c r="AN43" s="95" t="str">
        <f t="shared" ref="AN43:AN44" si="70">(AO43-AM43)/(AK43-1)</f>
        <v>#REF!</v>
      </c>
      <c r="AO43" s="95" t="str">
        <f t="shared" si="60"/>
        <v>#REF!</v>
      </c>
      <c r="AP43" s="118" t="str">
        <f>AO43/AQ42</f>
        <v>#REF!</v>
      </c>
      <c r="AQ43" s="99">
        <f>AQ42/AK43</f>
        <v>159</v>
      </c>
      <c r="AR43" s="59"/>
      <c r="AS43" s="19"/>
      <c r="AT43" s="56"/>
      <c r="AU43" s="130"/>
      <c r="AV43" s="93">
        <f>D43</f>
        <v>2</v>
      </c>
      <c r="AW43" s="94" t="str">
        <f>(AU42-AZ43)/AU42</f>
        <v>#REF!</v>
      </c>
      <c r="AX43" s="97" t="str">
        <f t="shared" ref="AX43:AX44" si="71">F43-(F43*20%)</f>
        <v>#REF!</v>
      </c>
      <c r="AY43" s="95" t="str">
        <f t="shared" ref="AY43:AY44" si="72">(AZ43-AX43)/(AV43-1)</f>
        <v>#REF!</v>
      </c>
      <c r="AZ43" s="95" t="str">
        <f t="shared" si="61"/>
        <v>#REF!</v>
      </c>
      <c r="BA43" s="118" t="str">
        <f>AZ43/BB42</f>
        <v>#REF!</v>
      </c>
      <c r="BB43" s="99">
        <f>BB42/AV43</f>
        <v>159</v>
      </c>
      <c r="BC43" s="59"/>
      <c r="BD43" s="91"/>
    </row>
    <row r="44" ht="13.5" customHeight="1">
      <c r="A44" s="13"/>
      <c r="B44" s="56"/>
      <c r="C44" s="96"/>
      <c r="D44" s="93">
        <v>8.0</v>
      </c>
      <c r="E44" s="94">
        <v>0.05</v>
      </c>
      <c r="F44" s="97" t="str">
        <f t="shared" si="62"/>
        <v>#REF!</v>
      </c>
      <c r="G44" s="95" t="str">
        <f t="shared" si="63"/>
        <v>#REF!</v>
      </c>
      <c r="H44" s="95" t="str">
        <f>C42-(C42*E44)</f>
        <v>#REF!</v>
      </c>
      <c r="I44" s="118" t="str">
        <f>H44/J42</f>
        <v>#REF!</v>
      </c>
      <c r="J44" s="99">
        <f>J42/D44</f>
        <v>39.75</v>
      </c>
      <c r="K44" s="59"/>
      <c r="L44" s="13"/>
      <c r="M44" s="56"/>
      <c r="N44" s="96"/>
      <c r="O44" s="93">
        <f t="shared" si="64"/>
        <v>8</v>
      </c>
      <c r="P44" s="94" t="str">
        <f>(N42-S44)/N42</f>
        <v>#REF!</v>
      </c>
      <c r="Q44" s="97" t="str">
        <f t="shared" si="65"/>
        <v>#REF!</v>
      </c>
      <c r="R44" s="95" t="str">
        <f t="shared" si="66"/>
        <v>#REF!</v>
      </c>
      <c r="S44" s="95" t="str">
        <f t="shared" si="58"/>
        <v>#REF!</v>
      </c>
      <c r="T44" s="95" t="str">
        <f>S44/U42</f>
        <v>#REF!</v>
      </c>
      <c r="U44" s="99">
        <f>U42/O44</f>
        <v>39.75</v>
      </c>
      <c r="V44" s="59"/>
      <c r="W44" s="19"/>
      <c r="X44" s="56"/>
      <c r="Y44" s="96"/>
      <c r="Z44" s="93">
        <f>+D44</f>
        <v>8</v>
      </c>
      <c r="AA44" s="94" t="str">
        <f>(Y42-AD44)/Y42</f>
        <v>#REF!</v>
      </c>
      <c r="AB44" s="97" t="str">
        <f t="shared" si="67"/>
        <v>#REF!</v>
      </c>
      <c r="AC44" s="95" t="str">
        <f t="shared" si="68"/>
        <v>#REF!</v>
      </c>
      <c r="AD44" s="95" t="str">
        <f t="shared" si="59"/>
        <v>#REF!</v>
      </c>
      <c r="AE44" s="95" t="str">
        <f>AD44/AF42</f>
        <v>#REF!</v>
      </c>
      <c r="AF44" s="99">
        <f>AF42/Z44</f>
        <v>39.75</v>
      </c>
      <c r="AG44" s="59"/>
      <c r="AH44" s="19"/>
      <c r="AI44" s="56"/>
      <c r="AJ44" s="96"/>
      <c r="AK44" s="93">
        <f>+D44</f>
        <v>8</v>
      </c>
      <c r="AL44" s="94" t="str">
        <f>(AJ42-AO44)/AJ42</f>
        <v>#REF!</v>
      </c>
      <c r="AM44" s="97" t="str">
        <f t="shared" si="69"/>
        <v>#REF!</v>
      </c>
      <c r="AN44" s="95" t="str">
        <f t="shared" si="70"/>
        <v>#REF!</v>
      </c>
      <c r="AO44" s="95" t="str">
        <f t="shared" si="60"/>
        <v>#REF!</v>
      </c>
      <c r="AP44" s="118" t="str">
        <f>AO44/AQ42</f>
        <v>#REF!</v>
      </c>
      <c r="AQ44" s="99">
        <f>AQ42/AK44</f>
        <v>39.75</v>
      </c>
      <c r="AR44" s="59"/>
      <c r="AS44" s="147"/>
      <c r="AT44" s="56"/>
      <c r="AU44" s="96"/>
      <c r="AV44" s="93">
        <f>+D44</f>
        <v>8</v>
      </c>
      <c r="AW44" s="94" t="str">
        <f>(AU42-AZ44)/AU42</f>
        <v>#REF!</v>
      </c>
      <c r="AX44" s="97" t="str">
        <f t="shared" si="71"/>
        <v>#REF!</v>
      </c>
      <c r="AY44" s="95" t="str">
        <f t="shared" si="72"/>
        <v>#REF!</v>
      </c>
      <c r="AZ44" s="95" t="str">
        <f t="shared" si="61"/>
        <v>#REF!</v>
      </c>
      <c r="BA44" s="95" t="str">
        <f>AZ44/BB42</f>
        <v>#REF!</v>
      </c>
      <c r="BB44" s="99">
        <f>BB42/AV44</f>
        <v>39.75</v>
      </c>
      <c r="BC44" s="59"/>
      <c r="BD44" s="19"/>
    </row>
    <row r="45" ht="13.5" customHeight="1">
      <c r="A45" s="13"/>
      <c r="B45" s="56"/>
      <c r="C45" s="13"/>
      <c r="D45" s="13"/>
      <c r="E45" s="13"/>
      <c r="F45" s="13"/>
      <c r="G45" s="13"/>
      <c r="H45" s="13"/>
      <c r="I45" s="19"/>
      <c r="J45" s="13"/>
      <c r="K45" s="59"/>
      <c r="L45" s="13"/>
      <c r="M45" s="56"/>
      <c r="N45" s="13"/>
      <c r="O45" s="13"/>
      <c r="P45" s="13"/>
      <c r="Q45" s="13"/>
      <c r="R45" s="13"/>
      <c r="S45" s="13"/>
      <c r="T45" s="13"/>
      <c r="U45" s="13"/>
      <c r="V45" s="59"/>
      <c r="W45" s="13"/>
      <c r="X45" s="56"/>
      <c r="Y45" s="13"/>
      <c r="Z45" s="13"/>
      <c r="AA45" s="13"/>
      <c r="AB45" s="13"/>
      <c r="AC45" s="13"/>
      <c r="AD45" s="13"/>
      <c r="AE45" s="13"/>
      <c r="AF45" s="13"/>
      <c r="AG45" s="59"/>
      <c r="AH45" s="13"/>
      <c r="AI45" s="56"/>
      <c r="AJ45" s="13"/>
      <c r="AK45" s="13"/>
      <c r="AL45" s="13"/>
      <c r="AM45" s="13"/>
      <c r="AN45" s="13"/>
      <c r="AO45" s="13"/>
      <c r="AP45" s="13"/>
      <c r="AQ45" s="13"/>
      <c r="AR45" s="59"/>
      <c r="AS45" s="13"/>
      <c r="AT45" s="56"/>
      <c r="AU45" s="13"/>
      <c r="AV45" s="13"/>
      <c r="AW45" s="13"/>
      <c r="AX45" s="13"/>
      <c r="AY45" s="13"/>
      <c r="AZ45" s="13"/>
      <c r="BA45" s="13"/>
      <c r="BB45" s="13"/>
      <c r="BC45" s="59"/>
      <c r="BD45" s="13"/>
    </row>
    <row r="46" ht="13.5" customHeight="1">
      <c r="A46" s="13"/>
      <c r="B46" s="56"/>
      <c r="C46" s="13"/>
      <c r="D46" s="13"/>
      <c r="E46" s="13"/>
      <c r="F46" s="13"/>
      <c r="G46" s="13"/>
      <c r="H46" s="13"/>
      <c r="I46" s="19"/>
      <c r="J46" s="13"/>
      <c r="K46" s="59"/>
      <c r="L46" s="13"/>
      <c r="M46" s="56"/>
      <c r="N46" s="13"/>
      <c r="O46" s="13"/>
      <c r="P46" s="13"/>
      <c r="Q46" s="13"/>
      <c r="R46" s="13"/>
      <c r="S46" s="13"/>
      <c r="T46" s="13"/>
      <c r="U46" s="13"/>
      <c r="V46" s="59"/>
      <c r="W46" s="147"/>
      <c r="X46" s="56"/>
      <c r="Y46" s="13"/>
      <c r="Z46" s="13"/>
      <c r="AA46" s="13"/>
      <c r="AB46" s="13"/>
      <c r="AC46" s="13"/>
      <c r="AD46" s="13"/>
      <c r="AE46" s="13"/>
      <c r="AF46" s="13"/>
      <c r="AG46" s="59"/>
      <c r="AH46" s="147"/>
      <c r="AI46" s="56"/>
      <c r="AJ46" s="13"/>
      <c r="AK46" s="13"/>
      <c r="AL46" s="13"/>
      <c r="AM46" s="13"/>
      <c r="AN46" s="13"/>
      <c r="AO46" s="13"/>
      <c r="AP46" s="13"/>
      <c r="AQ46" s="13"/>
      <c r="AR46" s="59"/>
      <c r="AS46" s="13"/>
      <c r="AT46" s="56"/>
      <c r="AU46" s="13"/>
      <c r="AV46" s="13"/>
      <c r="AW46" s="13"/>
      <c r="AX46" s="13"/>
      <c r="AY46" s="13"/>
      <c r="AZ46" s="13"/>
      <c r="BA46" s="13"/>
      <c r="BB46" s="13"/>
      <c r="BC46" s="59"/>
      <c r="BD46" s="147"/>
    </row>
    <row r="47" ht="33.0" customHeight="1">
      <c r="A47" s="13"/>
      <c r="B47" s="56"/>
      <c r="C47" s="77" t="s">
        <v>113</v>
      </c>
      <c r="D47" s="78"/>
      <c r="E47" s="78"/>
      <c r="F47" s="78"/>
      <c r="G47" s="78"/>
      <c r="H47" s="78"/>
      <c r="I47" s="78"/>
      <c r="J47" s="79"/>
      <c r="K47" s="59"/>
      <c r="L47" s="13"/>
      <c r="M47" s="56"/>
      <c r="N47" s="77" t="str">
        <f>C47</f>
        <v>Plan 3 Niveles
 (363 Horas Reloj - Niveles A1, A2 y B1)</v>
      </c>
      <c r="O47" s="78"/>
      <c r="P47" s="78"/>
      <c r="Q47" s="78"/>
      <c r="R47" s="78"/>
      <c r="S47" s="78"/>
      <c r="T47" s="78"/>
      <c r="U47" s="79"/>
      <c r="V47" s="59"/>
      <c r="W47" s="13"/>
      <c r="X47" s="56"/>
      <c r="Y47" s="77" t="str">
        <f>C47</f>
        <v>Plan 3 Niveles
 (363 Horas Reloj - Niveles A1, A2 y B1)</v>
      </c>
      <c r="Z47" s="78"/>
      <c r="AA47" s="78"/>
      <c r="AB47" s="78"/>
      <c r="AC47" s="78"/>
      <c r="AD47" s="78"/>
      <c r="AE47" s="78"/>
      <c r="AF47" s="114"/>
      <c r="AG47" s="59"/>
      <c r="AH47" s="13"/>
      <c r="AI47" s="56"/>
      <c r="AJ47" s="77" t="str">
        <f>C47</f>
        <v>Plan 3 Niveles
 (363 Horas Reloj - Niveles A1, A2 y B1)</v>
      </c>
      <c r="AK47" s="78"/>
      <c r="AL47" s="78"/>
      <c r="AM47" s="78"/>
      <c r="AN47" s="78"/>
      <c r="AO47" s="78"/>
      <c r="AP47" s="78"/>
      <c r="AQ47" s="79"/>
      <c r="AR47" s="59"/>
      <c r="AS47" s="81"/>
      <c r="AT47" s="56"/>
      <c r="AU47" s="77" t="str">
        <f>C47</f>
        <v>Plan 3 Niveles
 (363 Horas Reloj - Niveles A1, A2 y B1)</v>
      </c>
      <c r="AV47" s="78"/>
      <c r="AW47" s="78"/>
      <c r="AX47" s="78"/>
      <c r="AY47" s="78"/>
      <c r="AZ47" s="78"/>
      <c r="BA47" s="78"/>
      <c r="BB47" s="79"/>
      <c r="BC47" s="59"/>
      <c r="BD47" s="13"/>
    </row>
    <row r="48" ht="13.5" customHeight="1">
      <c r="A48" s="13"/>
      <c r="B48" s="56"/>
      <c r="C48" s="250" t="s">
        <v>13</v>
      </c>
      <c r="D48" s="87" t="s">
        <v>14</v>
      </c>
      <c r="E48" s="87" t="s">
        <v>16</v>
      </c>
      <c r="F48" s="83" t="s">
        <v>17</v>
      </c>
      <c r="G48" s="83" t="s">
        <v>18</v>
      </c>
      <c r="H48" s="87" t="s">
        <v>19</v>
      </c>
      <c r="I48" s="117" t="s">
        <v>20</v>
      </c>
      <c r="J48" s="85" t="s">
        <v>22</v>
      </c>
      <c r="K48" s="59"/>
      <c r="L48" s="13"/>
      <c r="M48" s="56"/>
      <c r="N48" s="250" t="s">
        <v>13</v>
      </c>
      <c r="O48" s="87" t="s">
        <v>14</v>
      </c>
      <c r="P48" s="87" t="s">
        <v>16</v>
      </c>
      <c r="Q48" s="83" t="s">
        <v>17</v>
      </c>
      <c r="R48" s="83" t="s">
        <v>18</v>
      </c>
      <c r="S48" s="87" t="s">
        <v>19</v>
      </c>
      <c r="T48" s="89" t="s">
        <v>20</v>
      </c>
      <c r="U48" s="85" t="s">
        <v>22</v>
      </c>
      <c r="V48" s="59"/>
      <c r="W48" s="81"/>
      <c r="X48" s="56"/>
      <c r="Y48" s="250" t="s">
        <v>13</v>
      </c>
      <c r="Z48" s="87" t="s">
        <v>14</v>
      </c>
      <c r="AA48" s="87" t="s">
        <v>16</v>
      </c>
      <c r="AB48" s="83" t="s">
        <v>17</v>
      </c>
      <c r="AC48" s="83" t="s">
        <v>18</v>
      </c>
      <c r="AD48" s="87" t="s">
        <v>19</v>
      </c>
      <c r="AE48" s="89" t="s">
        <v>20</v>
      </c>
      <c r="AF48" s="85" t="s">
        <v>22</v>
      </c>
      <c r="AG48" s="59"/>
      <c r="AH48" s="81"/>
      <c r="AI48" s="56"/>
      <c r="AJ48" s="250" t="s">
        <v>13</v>
      </c>
      <c r="AK48" s="87" t="s">
        <v>14</v>
      </c>
      <c r="AL48" s="87" t="s">
        <v>16</v>
      </c>
      <c r="AM48" s="83" t="s">
        <v>17</v>
      </c>
      <c r="AN48" s="83" t="s">
        <v>18</v>
      </c>
      <c r="AO48" s="87" t="s">
        <v>19</v>
      </c>
      <c r="AP48" s="117" t="s">
        <v>20</v>
      </c>
      <c r="AQ48" s="85" t="s">
        <v>22</v>
      </c>
      <c r="AR48" s="59"/>
      <c r="AS48" s="91"/>
      <c r="AT48" s="56"/>
      <c r="AU48" s="252" t="s">
        <v>13</v>
      </c>
      <c r="AV48" s="83" t="s">
        <v>14</v>
      </c>
      <c r="AW48" s="83" t="s">
        <v>16</v>
      </c>
      <c r="AX48" s="83" t="s">
        <v>17</v>
      </c>
      <c r="AY48" s="83" t="s">
        <v>18</v>
      </c>
      <c r="AZ48" s="83" t="s">
        <v>19</v>
      </c>
      <c r="BA48" s="84" t="s">
        <v>20</v>
      </c>
      <c r="BB48" s="85" t="s">
        <v>22</v>
      </c>
      <c r="BC48" s="59"/>
      <c r="BD48" s="81"/>
    </row>
    <row r="49" ht="13.5" customHeight="1">
      <c r="A49" s="13"/>
      <c r="B49" s="56"/>
      <c r="C49" s="253" t="str">
        <f>C8+C13+C18</f>
        <v>#REF!</v>
      </c>
      <c r="D49" s="254">
        <v>1.0</v>
      </c>
      <c r="E49" s="94">
        <v>0.25</v>
      </c>
      <c r="F49" s="95" t="str">
        <f>H49</f>
        <v>#REF!</v>
      </c>
      <c r="G49" s="95">
        <v>0.0</v>
      </c>
      <c r="H49" s="95" t="str">
        <f>C49-(C49*E49)</f>
        <v>#REF!</v>
      </c>
      <c r="I49" s="118" t="str">
        <f>H49/J49</f>
        <v>#REF!</v>
      </c>
      <c r="J49" s="93">
        <v>363.0</v>
      </c>
      <c r="K49" s="59"/>
      <c r="L49" s="13"/>
      <c r="M49" s="56"/>
      <c r="N49" s="253" t="str">
        <f>C49</f>
        <v>#REF!</v>
      </c>
      <c r="O49" s="93">
        <v>1.0</v>
      </c>
      <c r="P49" s="94" t="str">
        <f>(N49-S49)/N49</f>
        <v>#REF!</v>
      </c>
      <c r="Q49" s="95" t="str">
        <f>S49</f>
        <v>#REF!</v>
      </c>
      <c r="R49" s="95">
        <v>0.0</v>
      </c>
      <c r="S49" s="95" t="str">
        <f t="shared" ref="S49:S51" si="73">H49*0.95</f>
        <v>#REF!</v>
      </c>
      <c r="T49" s="95" t="str">
        <f>S49/U49</f>
        <v>#REF!</v>
      </c>
      <c r="U49" s="93">
        <v>363.0</v>
      </c>
      <c r="V49" s="59"/>
      <c r="W49" s="91"/>
      <c r="X49" s="56"/>
      <c r="Y49" s="253" t="str">
        <f>+C49</f>
        <v>#REF!</v>
      </c>
      <c r="Z49" s="93">
        <v>1.0</v>
      </c>
      <c r="AA49" s="94" t="str">
        <f>(Y49-AD49)/Y49</f>
        <v>#REF!</v>
      </c>
      <c r="AB49" s="95" t="str">
        <f>AD49</f>
        <v>#REF!</v>
      </c>
      <c r="AC49" s="95">
        <v>0.0</v>
      </c>
      <c r="AD49" s="95" t="str">
        <f t="shared" ref="AD49:AD51" si="74">H49*0.9</f>
        <v>#REF!</v>
      </c>
      <c r="AE49" s="95" t="str">
        <f>AD49/AF49</f>
        <v>#REF!</v>
      </c>
      <c r="AF49" s="93">
        <v>363.0</v>
      </c>
      <c r="AG49" s="59"/>
      <c r="AH49" s="91"/>
      <c r="AI49" s="56"/>
      <c r="AJ49" s="253" t="str">
        <f>C49</f>
        <v>#REF!</v>
      </c>
      <c r="AK49" s="93">
        <v>1.0</v>
      </c>
      <c r="AL49" s="94" t="str">
        <f>(AJ49-AO49)/AJ49</f>
        <v>#REF!</v>
      </c>
      <c r="AM49" s="95" t="str">
        <f>AO49</f>
        <v>#REF!</v>
      </c>
      <c r="AN49" s="95">
        <v>0.0</v>
      </c>
      <c r="AO49" s="95" t="str">
        <f t="shared" ref="AO49:AO51" si="75">H49*0.85</f>
        <v>#REF!</v>
      </c>
      <c r="AP49" s="118" t="str">
        <f>AO49/AQ49</f>
        <v>#REF!</v>
      </c>
      <c r="AQ49" s="93">
        <v>363.0</v>
      </c>
      <c r="AR49" s="59"/>
      <c r="AS49" s="19"/>
      <c r="AT49" s="56"/>
      <c r="AU49" s="253" t="str">
        <f>C49</f>
        <v>#REF!</v>
      </c>
      <c r="AV49" s="93">
        <v>1.0</v>
      </c>
      <c r="AW49" s="94" t="str">
        <f>(AU49-AZ49)/AU49</f>
        <v>#REF!</v>
      </c>
      <c r="AX49" s="95" t="str">
        <f>AZ49</f>
        <v>#REF!</v>
      </c>
      <c r="AY49" s="95">
        <v>0.0</v>
      </c>
      <c r="AZ49" s="95" t="str">
        <f t="shared" ref="AZ49:AZ51" si="76">H49*0.8</f>
        <v>#REF!</v>
      </c>
      <c r="BA49" s="95" t="str">
        <f>AZ49/BB49</f>
        <v>#REF!</v>
      </c>
      <c r="BB49" s="93">
        <v>363.0</v>
      </c>
      <c r="BC49" s="59"/>
      <c r="BD49" s="91"/>
    </row>
    <row r="50" ht="13.5" customHeight="1">
      <c r="A50" s="13"/>
      <c r="B50" s="56"/>
      <c r="C50" s="130"/>
      <c r="D50" s="93">
        <v>3.0</v>
      </c>
      <c r="E50" s="94">
        <v>0.2</v>
      </c>
      <c r="F50" s="97" t="str">
        <f t="shared" ref="F50:F51" si="77">H50/D50</f>
        <v>#REF!</v>
      </c>
      <c r="G50" s="95" t="str">
        <f t="shared" ref="G50:G51" si="78">(H50-F50)/(D50-1)</f>
        <v>#REF!</v>
      </c>
      <c r="H50" s="95" t="str">
        <f>C49-(C49*E50)</f>
        <v>#REF!</v>
      </c>
      <c r="I50" s="118" t="str">
        <f>H50/J49</f>
        <v>#REF!</v>
      </c>
      <c r="J50" s="99">
        <f>J49/D50</f>
        <v>121</v>
      </c>
      <c r="K50" s="59"/>
      <c r="L50" s="13"/>
      <c r="M50" s="56"/>
      <c r="N50" s="130"/>
      <c r="O50" s="93">
        <f t="shared" ref="O50:O51" si="79">D50</f>
        <v>3</v>
      </c>
      <c r="P50" s="94" t="str">
        <f>(N49-S50)/N49</f>
        <v>#REF!</v>
      </c>
      <c r="Q50" s="97" t="str">
        <f t="shared" ref="Q50:Q51" si="80">F50-(F50*5%)</f>
        <v>#REF!</v>
      </c>
      <c r="R50" s="95" t="str">
        <f t="shared" ref="R50:R51" si="81">(S50-Q50)/(O50-1)</f>
        <v>#REF!</v>
      </c>
      <c r="S50" s="95" t="str">
        <f t="shared" si="73"/>
        <v>#REF!</v>
      </c>
      <c r="T50" s="118" t="str">
        <f>S50/U49</f>
        <v>#REF!</v>
      </c>
      <c r="U50" s="99">
        <f>U49/O50</f>
        <v>121</v>
      </c>
      <c r="V50" s="59"/>
      <c r="W50" s="91"/>
      <c r="X50" s="56"/>
      <c r="Y50" s="130"/>
      <c r="Z50" s="93">
        <f>D50</f>
        <v>3</v>
      </c>
      <c r="AA50" s="94" t="str">
        <f>(Y49-AD50)/Y49</f>
        <v>#REF!</v>
      </c>
      <c r="AB50" s="97" t="str">
        <f t="shared" ref="AB50:AB51" si="82">F50-(F50*10%)</f>
        <v>#REF!</v>
      </c>
      <c r="AC50" s="95" t="str">
        <f t="shared" ref="AC50:AC51" si="83">(AD50-AB50)/(Z50-1)</f>
        <v>#REF!</v>
      </c>
      <c r="AD50" s="95" t="str">
        <f t="shared" si="74"/>
        <v>#REF!</v>
      </c>
      <c r="AE50" s="118" t="str">
        <f>AD50/AF49</f>
        <v>#REF!</v>
      </c>
      <c r="AF50" s="99">
        <f>AF49/Z50</f>
        <v>121</v>
      </c>
      <c r="AG50" s="59"/>
      <c r="AH50" s="91"/>
      <c r="AI50" s="56"/>
      <c r="AJ50" s="130"/>
      <c r="AK50" s="93">
        <f>D50</f>
        <v>3</v>
      </c>
      <c r="AL50" s="94" t="str">
        <f>(AJ49-AO50)/AJ49</f>
        <v>#REF!</v>
      </c>
      <c r="AM50" s="97" t="str">
        <f t="shared" ref="AM50:AM51" si="84">F50-(F50*15%)</f>
        <v>#REF!</v>
      </c>
      <c r="AN50" s="95" t="str">
        <f t="shared" ref="AN50:AN51" si="85">(AO50-AM50)/(AK50-1)</f>
        <v>#REF!</v>
      </c>
      <c r="AO50" s="95" t="str">
        <f t="shared" si="75"/>
        <v>#REF!</v>
      </c>
      <c r="AP50" s="118" t="str">
        <f>AO50/AQ49</f>
        <v>#REF!</v>
      </c>
      <c r="AQ50" s="99">
        <f>AQ49/AK50</f>
        <v>121</v>
      </c>
      <c r="AR50" s="59"/>
      <c r="AS50" s="19"/>
      <c r="AT50" s="56"/>
      <c r="AU50" s="130"/>
      <c r="AV50" s="93">
        <f>D50</f>
        <v>3</v>
      </c>
      <c r="AW50" s="94" t="str">
        <f>(AU49-AZ50)/AU49</f>
        <v>#REF!</v>
      </c>
      <c r="AX50" s="97" t="str">
        <f t="shared" ref="AX50:AX51" si="86">F50-(F50*20%)</f>
        <v>#REF!</v>
      </c>
      <c r="AY50" s="95" t="str">
        <f t="shared" ref="AY50:AY51" si="87">(AZ50-AX50)/(AV50-1)</f>
        <v>#REF!</v>
      </c>
      <c r="AZ50" s="95" t="str">
        <f t="shared" si="76"/>
        <v>#REF!</v>
      </c>
      <c r="BA50" s="118" t="str">
        <f>AZ50/BB49</f>
        <v>#REF!</v>
      </c>
      <c r="BB50" s="99">
        <f>BB49/AV50</f>
        <v>121</v>
      </c>
      <c r="BC50" s="59"/>
      <c r="BD50" s="91"/>
    </row>
    <row r="51" ht="13.5" customHeight="1">
      <c r="A51" s="13"/>
      <c r="B51" s="56"/>
      <c r="C51" s="96"/>
      <c r="D51" s="93">
        <v>12.0</v>
      </c>
      <c r="E51" s="94">
        <v>0.15</v>
      </c>
      <c r="F51" s="97" t="str">
        <f t="shared" si="77"/>
        <v>#REF!</v>
      </c>
      <c r="G51" s="95" t="str">
        <f t="shared" si="78"/>
        <v>#REF!</v>
      </c>
      <c r="H51" s="95" t="str">
        <f>C49-(C49*E51)</f>
        <v>#REF!</v>
      </c>
      <c r="I51" s="118" t="str">
        <f>H51/J49</f>
        <v>#REF!</v>
      </c>
      <c r="J51" s="99">
        <f>J49/D51</f>
        <v>30.25</v>
      </c>
      <c r="K51" s="59"/>
      <c r="L51" s="13"/>
      <c r="M51" s="56"/>
      <c r="N51" s="96"/>
      <c r="O51" s="93">
        <f t="shared" si="79"/>
        <v>12</v>
      </c>
      <c r="P51" s="94" t="str">
        <f>(N49-S51)/N49</f>
        <v>#REF!</v>
      </c>
      <c r="Q51" s="97" t="str">
        <f t="shared" si="80"/>
        <v>#REF!</v>
      </c>
      <c r="R51" s="95" t="str">
        <f t="shared" si="81"/>
        <v>#REF!</v>
      </c>
      <c r="S51" s="95" t="str">
        <f t="shared" si="73"/>
        <v>#REF!</v>
      </c>
      <c r="T51" s="95" t="str">
        <f>S51/U49</f>
        <v>#REF!</v>
      </c>
      <c r="U51" s="99">
        <f>U49/O51</f>
        <v>30.25</v>
      </c>
      <c r="V51" s="59"/>
      <c r="W51" s="19"/>
      <c r="X51" s="56"/>
      <c r="Y51" s="96"/>
      <c r="Z51" s="93">
        <f>+D51</f>
        <v>12</v>
      </c>
      <c r="AA51" s="94" t="str">
        <f>(Y49-AD51)/Y49</f>
        <v>#REF!</v>
      </c>
      <c r="AB51" s="97" t="str">
        <f t="shared" si="82"/>
        <v>#REF!</v>
      </c>
      <c r="AC51" s="95" t="str">
        <f t="shared" si="83"/>
        <v>#REF!</v>
      </c>
      <c r="AD51" s="95" t="str">
        <f t="shared" si="74"/>
        <v>#REF!</v>
      </c>
      <c r="AE51" s="95" t="str">
        <f>AD51/AF49</f>
        <v>#REF!</v>
      </c>
      <c r="AF51" s="99">
        <f>AF49/Z51</f>
        <v>30.25</v>
      </c>
      <c r="AG51" s="59"/>
      <c r="AH51" s="19"/>
      <c r="AI51" s="56"/>
      <c r="AJ51" s="96"/>
      <c r="AK51" s="93">
        <f>+D51</f>
        <v>12</v>
      </c>
      <c r="AL51" s="94" t="str">
        <f>(AJ49-AO51)/AJ49</f>
        <v>#REF!</v>
      </c>
      <c r="AM51" s="97" t="str">
        <f t="shared" si="84"/>
        <v>#REF!</v>
      </c>
      <c r="AN51" s="95" t="str">
        <f t="shared" si="85"/>
        <v>#REF!</v>
      </c>
      <c r="AO51" s="95" t="str">
        <f t="shared" si="75"/>
        <v>#REF!</v>
      </c>
      <c r="AP51" s="118" t="str">
        <f>AO51/AQ49</f>
        <v>#REF!</v>
      </c>
      <c r="AQ51" s="99">
        <f>AQ49/AK51</f>
        <v>30.25</v>
      </c>
      <c r="AR51" s="59"/>
      <c r="AS51" s="147"/>
      <c r="AT51" s="56"/>
      <c r="AU51" s="96"/>
      <c r="AV51" s="93">
        <f>+D51</f>
        <v>12</v>
      </c>
      <c r="AW51" s="94" t="str">
        <f>(AU49-AZ51)/AU49</f>
        <v>#REF!</v>
      </c>
      <c r="AX51" s="97" t="str">
        <f t="shared" si="86"/>
        <v>#REF!</v>
      </c>
      <c r="AY51" s="95" t="str">
        <f t="shared" si="87"/>
        <v>#REF!</v>
      </c>
      <c r="AZ51" s="95" t="str">
        <f t="shared" si="76"/>
        <v>#REF!</v>
      </c>
      <c r="BA51" s="95" t="str">
        <f>AZ51/BB49</f>
        <v>#REF!</v>
      </c>
      <c r="BB51" s="99">
        <f>BB49/AV51</f>
        <v>30.25</v>
      </c>
      <c r="BC51" s="59"/>
      <c r="BD51" s="19"/>
    </row>
    <row r="52" ht="13.5" customHeight="1">
      <c r="A52" s="13"/>
      <c r="B52" s="56"/>
      <c r="C52" s="13"/>
      <c r="D52" s="13"/>
      <c r="E52" s="13"/>
      <c r="F52" s="13"/>
      <c r="G52" s="13"/>
      <c r="H52" s="13"/>
      <c r="I52" s="19"/>
      <c r="J52" s="13"/>
      <c r="K52" s="59"/>
      <c r="L52" s="13"/>
      <c r="M52" s="56"/>
      <c r="N52" s="13"/>
      <c r="O52" s="13"/>
      <c r="P52" s="13"/>
      <c r="Q52" s="13"/>
      <c r="R52" s="13"/>
      <c r="S52" s="13"/>
      <c r="T52" s="13"/>
      <c r="U52" s="13"/>
      <c r="V52" s="59"/>
      <c r="W52" s="147"/>
      <c r="X52" s="56"/>
      <c r="Y52" s="13"/>
      <c r="Z52" s="13"/>
      <c r="AA52" s="13"/>
      <c r="AB52" s="13"/>
      <c r="AC52" s="13"/>
      <c r="AD52" s="13"/>
      <c r="AE52" s="13"/>
      <c r="AF52" s="13"/>
      <c r="AG52" s="59"/>
      <c r="AH52" s="147"/>
      <c r="AI52" s="56"/>
      <c r="AJ52" s="13"/>
      <c r="AK52" s="13"/>
      <c r="AL52" s="13"/>
      <c r="AM52" s="13"/>
      <c r="AN52" s="13"/>
      <c r="AO52" s="13"/>
      <c r="AP52" s="13"/>
      <c r="AQ52" s="13"/>
      <c r="AR52" s="59"/>
      <c r="AS52" s="13"/>
      <c r="AT52" s="56"/>
      <c r="AU52" s="13"/>
      <c r="AV52" s="13"/>
      <c r="AW52" s="13"/>
      <c r="AX52" s="13"/>
      <c r="AY52" s="13"/>
      <c r="AZ52" s="13"/>
      <c r="BA52" s="13"/>
      <c r="BB52" s="13"/>
      <c r="BC52" s="59"/>
      <c r="BD52" s="147"/>
    </row>
    <row r="53" ht="33.0" customHeight="1">
      <c r="A53" s="13"/>
      <c r="B53" s="56"/>
      <c r="C53" s="77" t="s">
        <v>128</v>
      </c>
      <c r="D53" s="78"/>
      <c r="E53" s="78"/>
      <c r="F53" s="78"/>
      <c r="G53" s="78"/>
      <c r="H53" s="78"/>
      <c r="I53" s="78"/>
      <c r="J53" s="79"/>
      <c r="K53" s="59"/>
      <c r="L53" s="13"/>
      <c r="M53" s="56"/>
      <c r="N53" s="77" t="str">
        <f>C53</f>
        <v>Plan 3 Niveles
 (432 Horas Reloj - Niveles A2, B1 y B2)</v>
      </c>
      <c r="O53" s="78"/>
      <c r="P53" s="78"/>
      <c r="Q53" s="78"/>
      <c r="R53" s="78"/>
      <c r="S53" s="78"/>
      <c r="T53" s="78"/>
      <c r="U53" s="79"/>
      <c r="V53" s="59"/>
      <c r="W53" s="13"/>
      <c r="X53" s="56"/>
      <c r="Y53" s="77" t="str">
        <f>C53</f>
        <v>Plan 3 Niveles
 (432 Horas Reloj - Niveles A2, B1 y B2)</v>
      </c>
      <c r="Z53" s="78"/>
      <c r="AA53" s="78"/>
      <c r="AB53" s="78"/>
      <c r="AC53" s="78"/>
      <c r="AD53" s="78"/>
      <c r="AE53" s="78"/>
      <c r="AF53" s="114"/>
      <c r="AG53" s="59"/>
      <c r="AH53" s="13"/>
      <c r="AI53" s="56"/>
      <c r="AJ53" s="77" t="str">
        <f>C53</f>
        <v>Plan 3 Niveles
 (432 Horas Reloj - Niveles A2, B1 y B2)</v>
      </c>
      <c r="AK53" s="78"/>
      <c r="AL53" s="78"/>
      <c r="AM53" s="78"/>
      <c r="AN53" s="78"/>
      <c r="AO53" s="78"/>
      <c r="AP53" s="78"/>
      <c r="AQ53" s="79"/>
      <c r="AR53" s="59"/>
      <c r="AS53" s="81"/>
      <c r="AT53" s="56"/>
      <c r="AU53" s="77" t="str">
        <f>C53</f>
        <v>Plan 3 Niveles
 (432 Horas Reloj - Niveles A2, B1 y B2)</v>
      </c>
      <c r="AV53" s="78"/>
      <c r="AW53" s="78"/>
      <c r="AX53" s="78"/>
      <c r="AY53" s="78"/>
      <c r="AZ53" s="78"/>
      <c r="BA53" s="78"/>
      <c r="BB53" s="79"/>
      <c r="BC53" s="59"/>
      <c r="BD53" s="13"/>
    </row>
    <row r="54" ht="13.5" customHeight="1">
      <c r="A54" s="13"/>
      <c r="B54" s="56"/>
      <c r="C54" s="250" t="s">
        <v>13</v>
      </c>
      <c r="D54" s="87" t="s">
        <v>14</v>
      </c>
      <c r="E54" s="87" t="s">
        <v>16</v>
      </c>
      <c r="F54" s="83" t="s">
        <v>17</v>
      </c>
      <c r="G54" s="83" t="s">
        <v>18</v>
      </c>
      <c r="H54" s="87" t="s">
        <v>19</v>
      </c>
      <c r="I54" s="117" t="s">
        <v>20</v>
      </c>
      <c r="J54" s="85" t="s">
        <v>22</v>
      </c>
      <c r="K54" s="59"/>
      <c r="L54" s="13"/>
      <c r="M54" s="56"/>
      <c r="N54" s="250" t="s">
        <v>13</v>
      </c>
      <c r="O54" s="87" t="s">
        <v>14</v>
      </c>
      <c r="P54" s="87" t="s">
        <v>16</v>
      </c>
      <c r="Q54" s="83" t="s">
        <v>17</v>
      </c>
      <c r="R54" s="83" t="s">
        <v>18</v>
      </c>
      <c r="S54" s="87" t="s">
        <v>19</v>
      </c>
      <c r="T54" s="89" t="s">
        <v>20</v>
      </c>
      <c r="U54" s="85" t="s">
        <v>22</v>
      </c>
      <c r="V54" s="59"/>
      <c r="W54" s="81"/>
      <c r="X54" s="56"/>
      <c r="Y54" s="250" t="s">
        <v>13</v>
      </c>
      <c r="Z54" s="87" t="s">
        <v>14</v>
      </c>
      <c r="AA54" s="87" t="s">
        <v>16</v>
      </c>
      <c r="AB54" s="83" t="s">
        <v>17</v>
      </c>
      <c r="AC54" s="83" t="s">
        <v>18</v>
      </c>
      <c r="AD54" s="87" t="s">
        <v>19</v>
      </c>
      <c r="AE54" s="89" t="s">
        <v>20</v>
      </c>
      <c r="AF54" s="85" t="s">
        <v>22</v>
      </c>
      <c r="AG54" s="59"/>
      <c r="AH54" s="81"/>
      <c r="AI54" s="56"/>
      <c r="AJ54" s="250" t="s">
        <v>13</v>
      </c>
      <c r="AK54" s="87" t="s">
        <v>14</v>
      </c>
      <c r="AL54" s="87" t="s">
        <v>16</v>
      </c>
      <c r="AM54" s="83" t="s">
        <v>17</v>
      </c>
      <c r="AN54" s="83" t="s">
        <v>18</v>
      </c>
      <c r="AO54" s="87" t="s">
        <v>19</v>
      </c>
      <c r="AP54" s="117" t="s">
        <v>20</v>
      </c>
      <c r="AQ54" s="85" t="s">
        <v>22</v>
      </c>
      <c r="AR54" s="59"/>
      <c r="AS54" s="91"/>
      <c r="AT54" s="56"/>
      <c r="AU54" s="252" t="s">
        <v>13</v>
      </c>
      <c r="AV54" s="83" t="s">
        <v>14</v>
      </c>
      <c r="AW54" s="83" t="s">
        <v>16</v>
      </c>
      <c r="AX54" s="83" t="s">
        <v>17</v>
      </c>
      <c r="AY54" s="83" t="s">
        <v>18</v>
      </c>
      <c r="AZ54" s="83" t="s">
        <v>19</v>
      </c>
      <c r="BA54" s="84" t="s">
        <v>20</v>
      </c>
      <c r="BB54" s="85" t="s">
        <v>22</v>
      </c>
      <c r="BC54" s="59"/>
      <c r="BD54" s="81"/>
    </row>
    <row r="55" ht="13.5" customHeight="1">
      <c r="A55" s="13"/>
      <c r="B55" s="56"/>
      <c r="C55" s="253" t="str">
        <f>C13+C18+C18</f>
        <v>#REF!</v>
      </c>
      <c r="D55" s="93">
        <v>1.0</v>
      </c>
      <c r="E55" s="94">
        <v>0.25</v>
      </c>
      <c r="F55" s="95" t="str">
        <f>H55</f>
        <v>#REF!</v>
      </c>
      <c r="G55" s="95">
        <v>0.0</v>
      </c>
      <c r="H55" s="95" t="str">
        <f>C55-(C55*E55)</f>
        <v>#REF!</v>
      </c>
      <c r="I55" s="118" t="str">
        <f>H55/J55</f>
        <v>#REF!</v>
      </c>
      <c r="J55" s="93">
        <v>432.0</v>
      </c>
      <c r="K55" s="59"/>
      <c r="L55" s="13"/>
      <c r="M55" s="56"/>
      <c r="N55" s="253" t="str">
        <f>C55</f>
        <v>#REF!</v>
      </c>
      <c r="O55" s="93">
        <v>1.0</v>
      </c>
      <c r="P55" s="94" t="str">
        <f>(N55-S55)/N55</f>
        <v>#REF!</v>
      </c>
      <c r="Q55" s="95" t="str">
        <f>S55</f>
        <v>#REF!</v>
      </c>
      <c r="R55" s="95">
        <v>0.0</v>
      </c>
      <c r="S55" s="95" t="str">
        <f t="shared" ref="S55:S57" si="88">H55*0.95</f>
        <v>#REF!</v>
      </c>
      <c r="T55" s="95" t="str">
        <f>S55/U55</f>
        <v>#REF!</v>
      </c>
      <c r="U55" s="93">
        <v>432.0</v>
      </c>
      <c r="V55" s="59"/>
      <c r="W55" s="91"/>
      <c r="X55" s="56"/>
      <c r="Y55" s="253" t="str">
        <f>SUM(Y13+Y18+Y18)</f>
        <v>#REF!</v>
      </c>
      <c r="Z55" s="93">
        <v>1.0</v>
      </c>
      <c r="AA55" s="94" t="str">
        <f>(Y55-AD55)/Y55</f>
        <v>#REF!</v>
      </c>
      <c r="AB55" s="95" t="str">
        <f>AD55</f>
        <v>#REF!</v>
      </c>
      <c r="AC55" s="95">
        <v>0.0</v>
      </c>
      <c r="AD55" s="95" t="str">
        <f t="shared" ref="AD55:AD57" si="89">H55*0.9</f>
        <v>#REF!</v>
      </c>
      <c r="AE55" s="95" t="str">
        <f>AD55/AF55</f>
        <v>#REF!</v>
      </c>
      <c r="AF55" s="93">
        <v>432.0</v>
      </c>
      <c r="AG55" s="59"/>
      <c r="AH55" s="91"/>
      <c r="AI55" s="56"/>
      <c r="AJ55" s="253" t="str">
        <f>C55</f>
        <v>#REF!</v>
      </c>
      <c r="AK55" s="93">
        <v>1.0</v>
      </c>
      <c r="AL55" s="94" t="str">
        <f>(AJ55-AO55)/AJ55</f>
        <v>#REF!</v>
      </c>
      <c r="AM55" s="95" t="str">
        <f>AO55</f>
        <v>#REF!</v>
      </c>
      <c r="AN55" s="95">
        <v>0.0</v>
      </c>
      <c r="AO55" s="95" t="str">
        <f t="shared" ref="AO55:AO57" si="90">H55*0.85</f>
        <v>#REF!</v>
      </c>
      <c r="AP55" s="118" t="str">
        <f>AO55/AQ55</f>
        <v>#REF!</v>
      </c>
      <c r="AQ55" s="93">
        <v>432.0</v>
      </c>
      <c r="AR55" s="59"/>
      <c r="AS55" s="19"/>
      <c r="AT55" s="56"/>
      <c r="AU55" s="253" t="str">
        <f>SUM(AU13+AU18+AU18)</f>
        <v>#REF!</v>
      </c>
      <c r="AV55" s="93">
        <v>1.0</v>
      </c>
      <c r="AW55" s="94" t="str">
        <f>(AU55-AZ55)/AU55</f>
        <v>#REF!</v>
      </c>
      <c r="AX55" s="95" t="str">
        <f>AZ55</f>
        <v>#REF!</v>
      </c>
      <c r="AY55" s="95">
        <v>0.0</v>
      </c>
      <c r="AZ55" s="95" t="str">
        <f t="shared" ref="AZ55:AZ57" si="91">H55*0.8</f>
        <v>#REF!</v>
      </c>
      <c r="BA55" s="95" t="str">
        <f>AZ55/BB55</f>
        <v>#REF!</v>
      </c>
      <c r="BB55" s="93">
        <v>432.0</v>
      </c>
      <c r="BC55" s="59"/>
      <c r="BD55" s="91"/>
    </row>
    <row r="56" ht="13.5" customHeight="1">
      <c r="A56" s="13"/>
      <c r="B56" s="56"/>
      <c r="C56" s="130"/>
      <c r="D56" s="93">
        <v>3.0</v>
      </c>
      <c r="E56" s="94">
        <v>0.2</v>
      </c>
      <c r="F56" s="97" t="str">
        <f t="shared" ref="F56:F57" si="92">H56/D56</f>
        <v>#REF!</v>
      </c>
      <c r="G56" s="95" t="str">
        <f t="shared" ref="G56:G57" si="93">(H56-F56)/(D56-1)</f>
        <v>#REF!</v>
      </c>
      <c r="H56" s="95" t="str">
        <f>C55-(C55*E56)</f>
        <v>#REF!</v>
      </c>
      <c r="I56" s="118" t="str">
        <f>H56/J55</f>
        <v>#REF!</v>
      </c>
      <c r="J56" s="99">
        <f>J55/D56</f>
        <v>144</v>
      </c>
      <c r="K56" s="59"/>
      <c r="L56" s="13"/>
      <c r="M56" s="56"/>
      <c r="N56" s="130"/>
      <c r="O56" s="93">
        <f t="shared" ref="O56:O57" si="94">D56</f>
        <v>3</v>
      </c>
      <c r="P56" s="94" t="str">
        <f>(N55-S56)/N55</f>
        <v>#REF!</v>
      </c>
      <c r="Q56" s="97" t="str">
        <f t="shared" ref="Q56:Q57" si="95">F56-(F56*5%)</f>
        <v>#REF!</v>
      </c>
      <c r="R56" s="95" t="str">
        <f t="shared" ref="R56:R57" si="96">(S56-Q56)/(O56-1)</f>
        <v>#REF!</v>
      </c>
      <c r="S56" s="95" t="str">
        <f t="shared" si="88"/>
        <v>#REF!</v>
      </c>
      <c r="T56" s="118" t="str">
        <f>S56/U55</f>
        <v>#REF!</v>
      </c>
      <c r="U56" s="99">
        <f>U55/O56</f>
        <v>144</v>
      </c>
      <c r="V56" s="59"/>
      <c r="W56" s="91"/>
      <c r="X56" s="56"/>
      <c r="Y56" s="130"/>
      <c r="Z56" s="93">
        <f>D56</f>
        <v>3</v>
      </c>
      <c r="AA56" s="94" t="str">
        <f>(Y55-AD56)/Y55</f>
        <v>#REF!</v>
      </c>
      <c r="AB56" s="97" t="str">
        <f t="shared" ref="AB56:AB57" si="97">F56-(F56*10%)</f>
        <v>#REF!</v>
      </c>
      <c r="AC56" s="95" t="str">
        <f t="shared" ref="AC56:AC57" si="98">(AD56-AB56)/(Z56-1)</f>
        <v>#REF!</v>
      </c>
      <c r="AD56" s="95" t="str">
        <f t="shared" si="89"/>
        <v>#REF!</v>
      </c>
      <c r="AE56" s="118" t="str">
        <f>AD56/AF55</f>
        <v>#REF!</v>
      </c>
      <c r="AF56" s="99">
        <f>AF55/Z56</f>
        <v>144</v>
      </c>
      <c r="AG56" s="59"/>
      <c r="AH56" s="91"/>
      <c r="AI56" s="56"/>
      <c r="AJ56" s="130"/>
      <c r="AK56" s="93">
        <f>D56</f>
        <v>3</v>
      </c>
      <c r="AL56" s="94" t="str">
        <f>(AJ55-AO56)/AJ55</f>
        <v>#REF!</v>
      </c>
      <c r="AM56" s="97" t="str">
        <f t="shared" ref="AM56:AM57" si="99">F56-(F56*15%)</f>
        <v>#REF!</v>
      </c>
      <c r="AN56" s="95" t="str">
        <f t="shared" ref="AN56:AN57" si="100">(AO56-AM56)/(AK56-1)</f>
        <v>#REF!</v>
      </c>
      <c r="AO56" s="95" t="str">
        <f t="shared" si="90"/>
        <v>#REF!</v>
      </c>
      <c r="AP56" s="118" t="str">
        <f>AO56/AQ55</f>
        <v>#REF!</v>
      </c>
      <c r="AQ56" s="99">
        <f>AQ55/AK56</f>
        <v>144</v>
      </c>
      <c r="AR56" s="59"/>
      <c r="AS56" s="19"/>
      <c r="AT56" s="56"/>
      <c r="AU56" s="130"/>
      <c r="AV56" s="93">
        <f>D56</f>
        <v>3</v>
      </c>
      <c r="AW56" s="94" t="str">
        <f>(AU55-AZ56)/AU55</f>
        <v>#REF!</v>
      </c>
      <c r="AX56" s="97" t="str">
        <f t="shared" ref="AX56:AX57" si="101">F56-(F56*20%)</f>
        <v>#REF!</v>
      </c>
      <c r="AY56" s="95" t="str">
        <f t="shared" ref="AY56:AY57" si="102">(AZ56-AX56)/(AV56-1)</f>
        <v>#REF!</v>
      </c>
      <c r="AZ56" s="95" t="str">
        <f t="shared" si="91"/>
        <v>#REF!</v>
      </c>
      <c r="BA56" s="118" t="str">
        <f>AZ56/BB55</f>
        <v>#REF!</v>
      </c>
      <c r="BB56" s="99">
        <f>BB55/AV56</f>
        <v>144</v>
      </c>
      <c r="BC56" s="59"/>
      <c r="BD56" s="91"/>
    </row>
    <row r="57" ht="13.5" customHeight="1">
      <c r="A57" s="13"/>
      <c r="B57" s="56"/>
      <c r="C57" s="96"/>
      <c r="D57" s="93">
        <v>13.0</v>
      </c>
      <c r="E57" s="94">
        <v>0.15</v>
      </c>
      <c r="F57" s="97" t="str">
        <f t="shared" si="92"/>
        <v>#REF!</v>
      </c>
      <c r="G57" s="95" t="str">
        <f t="shared" si="93"/>
        <v>#REF!</v>
      </c>
      <c r="H57" s="95" t="str">
        <f>C55-(C55*E57)</f>
        <v>#REF!</v>
      </c>
      <c r="I57" s="118" t="str">
        <f>H57/J55</f>
        <v>#REF!</v>
      </c>
      <c r="J57" s="99">
        <f>J55/D57</f>
        <v>33.23076923</v>
      </c>
      <c r="K57" s="59"/>
      <c r="L57" s="13"/>
      <c r="M57" s="56"/>
      <c r="N57" s="96"/>
      <c r="O57" s="93">
        <f t="shared" si="94"/>
        <v>13</v>
      </c>
      <c r="P57" s="94" t="str">
        <f>(N55-S57)/N55</f>
        <v>#REF!</v>
      </c>
      <c r="Q57" s="97" t="str">
        <f t="shared" si="95"/>
        <v>#REF!</v>
      </c>
      <c r="R57" s="95" t="str">
        <f t="shared" si="96"/>
        <v>#REF!</v>
      </c>
      <c r="S57" s="95" t="str">
        <f t="shared" si="88"/>
        <v>#REF!</v>
      </c>
      <c r="T57" s="95" t="str">
        <f>S57/U55</f>
        <v>#REF!</v>
      </c>
      <c r="U57" s="99">
        <f>U55/O57</f>
        <v>33.23076923</v>
      </c>
      <c r="V57" s="59"/>
      <c r="W57" s="19"/>
      <c r="X57" s="56"/>
      <c r="Y57" s="96"/>
      <c r="Z57" s="93">
        <f>+D57</f>
        <v>13</v>
      </c>
      <c r="AA57" s="94" t="str">
        <f>(Y55-AD57)/Y55</f>
        <v>#REF!</v>
      </c>
      <c r="AB57" s="97" t="str">
        <f t="shared" si="97"/>
        <v>#REF!</v>
      </c>
      <c r="AC57" s="95" t="str">
        <f t="shared" si="98"/>
        <v>#REF!</v>
      </c>
      <c r="AD57" s="95" t="str">
        <f t="shared" si="89"/>
        <v>#REF!</v>
      </c>
      <c r="AE57" s="95" t="str">
        <f>AD57/AF55</f>
        <v>#REF!</v>
      </c>
      <c r="AF57" s="99">
        <f>AF55/Z57</f>
        <v>33.23076923</v>
      </c>
      <c r="AG57" s="59"/>
      <c r="AH57" s="19"/>
      <c r="AI57" s="56"/>
      <c r="AJ57" s="96"/>
      <c r="AK57" s="93">
        <f>+D57</f>
        <v>13</v>
      </c>
      <c r="AL57" s="94" t="str">
        <f>(AJ55-AO57)/AJ55</f>
        <v>#REF!</v>
      </c>
      <c r="AM57" s="97" t="str">
        <f t="shared" si="99"/>
        <v>#REF!</v>
      </c>
      <c r="AN57" s="95" t="str">
        <f t="shared" si="100"/>
        <v>#REF!</v>
      </c>
      <c r="AO57" s="95" t="str">
        <f t="shared" si="90"/>
        <v>#REF!</v>
      </c>
      <c r="AP57" s="118" t="str">
        <f>AO57/AQ55</f>
        <v>#REF!</v>
      </c>
      <c r="AQ57" s="99">
        <f>AQ55/AK57</f>
        <v>33.23076923</v>
      </c>
      <c r="AR57" s="59"/>
      <c r="AS57" s="147"/>
      <c r="AT57" s="56"/>
      <c r="AU57" s="96"/>
      <c r="AV57" s="93">
        <f>+D57</f>
        <v>13</v>
      </c>
      <c r="AW57" s="94" t="str">
        <f>(AU55-AZ57)/AU55</f>
        <v>#REF!</v>
      </c>
      <c r="AX57" s="97" t="str">
        <f t="shared" si="101"/>
        <v>#REF!</v>
      </c>
      <c r="AY57" s="95" t="str">
        <f t="shared" si="102"/>
        <v>#REF!</v>
      </c>
      <c r="AZ57" s="95" t="str">
        <f t="shared" si="91"/>
        <v>#REF!</v>
      </c>
      <c r="BA57" s="95" t="str">
        <f>AZ57/BB55</f>
        <v>#REF!</v>
      </c>
      <c r="BB57" s="99">
        <f>BB55/AV57</f>
        <v>33.23076923</v>
      </c>
      <c r="BC57" s="59"/>
      <c r="BD57" s="19"/>
    </row>
    <row r="58" ht="13.5" customHeight="1">
      <c r="A58" s="13"/>
      <c r="B58" s="56"/>
      <c r="C58" s="13"/>
      <c r="D58" s="13"/>
      <c r="E58" s="13"/>
      <c r="F58" s="13"/>
      <c r="G58" s="13"/>
      <c r="H58" s="13"/>
      <c r="I58" s="19"/>
      <c r="J58" s="13"/>
      <c r="K58" s="59"/>
      <c r="L58" s="13"/>
      <c r="M58" s="56"/>
      <c r="N58" s="13"/>
      <c r="O58" s="13"/>
      <c r="P58" s="13"/>
      <c r="Q58" s="13"/>
      <c r="R58" s="13"/>
      <c r="S58" s="13"/>
      <c r="T58" s="13"/>
      <c r="U58" s="13"/>
      <c r="V58" s="59"/>
      <c r="W58" s="147"/>
      <c r="X58" s="56"/>
      <c r="Y58" s="13"/>
      <c r="Z58" s="13"/>
      <c r="AA58" s="13"/>
      <c r="AB58" s="13"/>
      <c r="AC58" s="13"/>
      <c r="AD58" s="13"/>
      <c r="AE58" s="13"/>
      <c r="AF58" s="13"/>
      <c r="AG58" s="59"/>
      <c r="AH58" s="147"/>
      <c r="AI58" s="56"/>
      <c r="AJ58" s="13"/>
      <c r="AK58" s="13"/>
      <c r="AL58" s="13"/>
      <c r="AM58" s="13"/>
      <c r="AN58" s="13"/>
      <c r="AO58" s="13"/>
      <c r="AP58" s="13"/>
      <c r="AQ58" s="13"/>
      <c r="AR58" s="59"/>
      <c r="AS58" s="13"/>
      <c r="AT58" s="56"/>
      <c r="AU58" s="13"/>
      <c r="AV58" s="13"/>
      <c r="AW58" s="13"/>
      <c r="AX58" s="13"/>
      <c r="AY58" s="13"/>
      <c r="AZ58" s="13"/>
      <c r="BA58" s="13"/>
      <c r="BB58" s="13"/>
      <c r="BC58" s="59"/>
      <c r="BD58" s="147"/>
    </row>
    <row r="59" ht="33.0" customHeight="1">
      <c r="A59" s="13"/>
      <c r="B59" s="56"/>
      <c r="C59" s="77" t="s">
        <v>130</v>
      </c>
      <c r="D59" s="78"/>
      <c r="E59" s="78"/>
      <c r="F59" s="78"/>
      <c r="G59" s="78"/>
      <c r="H59" s="78"/>
      <c r="I59" s="78"/>
      <c r="J59" s="79"/>
      <c r="K59" s="59"/>
      <c r="L59" s="13"/>
      <c r="M59" s="56"/>
      <c r="N59" s="77" t="str">
        <f>C59</f>
        <v>Plan 3 Niveles
 (477 Horas Reloj - Niveles B1, B2 y C1)</v>
      </c>
      <c r="O59" s="78"/>
      <c r="P59" s="78"/>
      <c r="Q59" s="78"/>
      <c r="R59" s="78"/>
      <c r="S59" s="78"/>
      <c r="T59" s="78"/>
      <c r="U59" s="79"/>
      <c r="V59" s="59"/>
      <c r="W59" s="13"/>
      <c r="X59" s="56"/>
      <c r="Y59" s="77" t="str">
        <f>C59</f>
        <v>Plan 3 Niveles
 (477 Horas Reloj - Niveles B1, B2 y C1)</v>
      </c>
      <c r="Z59" s="78"/>
      <c r="AA59" s="78"/>
      <c r="AB59" s="78"/>
      <c r="AC59" s="78"/>
      <c r="AD59" s="78"/>
      <c r="AE59" s="78"/>
      <c r="AF59" s="114"/>
      <c r="AG59" s="59"/>
      <c r="AH59" s="13"/>
      <c r="AI59" s="56"/>
      <c r="AJ59" s="77" t="str">
        <f>C59</f>
        <v>Plan 3 Niveles
 (477 Horas Reloj - Niveles B1, B2 y C1)</v>
      </c>
      <c r="AK59" s="78"/>
      <c r="AL59" s="78"/>
      <c r="AM59" s="78"/>
      <c r="AN59" s="78"/>
      <c r="AO59" s="78"/>
      <c r="AP59" s="78"/>
      <c r="AQ59" s="79"/>
      <c r="AR59" s="59"/>
      <c r="AS59" s="81"/>
      <c r="AT59" s="56"/>
      <c r="AU59" s="77" t="str">
        <f>C59</f>
        <v>Plan 3 Niveles
 (477 Horas Reloj - Niveles B1, B2 y C1)</v>
      </c>
      <c r="AV59" s="78"/>
      <c r="AW59" s="78"/>
      <c r="AX59" s="78"/>
      <c r="AY59" s="78"/>
      <c r="AZ59" s="78"/>
      <c r="BA59" s="78"/>
      <c r="BB59" s="79"/>
      <c r="BC59" s="59"/>
      <c r="BD59" s="13"/>
    </row>
    <row r="60" ht="13.5" customHeight="1">
      <c r="A60" s="13"/>
      <c r="B60" s="56"/>
      <c r="C60" s="250" t="s">
        <v>13</v>
      </c>
      <c r="D60" s="87" t="s">
        <v>14</v>
      </c>
      <c r="E60" s="87" t="s">
        <v>16</v>
      </c>
      <c r="F60" s="83" t="s">
        <v>17</v>
      </c>
      <c r="G60" s="83" t="s">
        <v>18</v>
      </c>
      <c r="H60" s="87" t="s">
        <v>19</v>
      </c>
      <c r="I60" s="117" t="s">
        <v>20</v>
      </c>
      <c r="J60" s="85" t="s">
        <v>22</v>
      </c>
      <c r="K60" s="59"/>
      <c r="L60" s="13"/>
      <c r="M60" s="56"/>
      <c r="N60" s="250" t="s">
        <v>13</v>
      </c>
      <c r="O60" s="87" t="s">
        <v>14</v>
      </c>
      <c r="P60" s="87" t="s">
        <v>16</v>
      </c>
      <c r="Q60" s="83" t="s">
        <v>17</v>
      </c>
      <c r="R60" s="83" t="s">
        <v>18</v>
      </c>
      <c r="S60" s="87" t="s">
        <v>19</v>
      </c>
      <c r="T60" s="89" t="s">
        <v>20</v>
      </c>
      <c r="U60" s="85" t="s">
        <v>22</v>
      </c>
      <c r="V60" s="59"/>
      <c r="W60" s="81"/>
      <c r="X60" s="56"/>
      <c r="Y60" s="250" t="s">
        <v>13</v>
      </c>
      <c r="Z60" s="87" t="s">
        <v>14</v>
      </c>
      <c r="AA60" s="87" t="s">
        <v>16</v>
      </c>
      <c r="AB60" s="83" t="s">
        <v>17</v>
      </c>
      <c r="AC60" s="83" t="s">
        <v>18</v>
      </c>
      <c r="AD60" s="87" t="s">
        <v>19</v>
      </c>
      <c r="AE60" s="89" t="s">
        <v>20</v>
      </c>
      <c r="AF60" s="85" t="s">
        <v>22</v>
      </c>
      <c r="AG60" s="59"/>
      <c r="AH60" s="81"/>
      <c r="AI60" s="56"/>
      <c r="AJ60" s="250" t="s">
        <v>13</v>
      </c>
      <c r="AK60" s="87" t="s">
        <v>14</v>
      </c>
      <c r="AL60" s="87" t="s">
        <v>16</v>
      </c>
      <c r="AM60" s="83" t="s">
        <v>17</v>
      </c>
      <c r="AN60" s="83" t="s">
        <v>18</v>
      </c>
      <c r="AO60" s="87" t="s">
        <v>19</v>
      </c>
      <c r="AP60" s="117" t="s">
        <v>20</v>
      </c>
      <c r="AQ60" s="85" t="s">
        <v>22</v>
      </c>
      <c r="AR60" s="59"/>
      <c r="AS60" s="91"/>
      <c r="AT60" s="56"/>
      <c r="AU60" s="252" t="s">
        <v>13</v>
      </c>
      <c r="AV60" s="83" t="s">
        <v>14</v>
      </c>
      <c r="AW60" s="83" t="s">
        <v>16</v>
      </c>
      <c r="AX60" s="83" t="s">
        <v>17</v>
      </c>
      <c r="AY60" s="83" t="s">
        <v>18</v>
      </c>
      <c r="AZ60" s="83" t="s">
        <v>19</v>
      </c>
      <c r="BA60" s="84" t="s">
        <v>20</v>
      </c>
      <c r="BB60" s="85" t="s">
        <v>22</v>
      </c>
      <c r="BC60" s="59"/>
      <c r="BD60" s="81"/>
    </row>
    <row r="61" ht="13.5" customHeight="1">
      <c r="A61" s="13"/>
      <c r="B61" s="56"/>
      <c r="C61" s="253" t="str">
        <f>C18*3</f>
        <v>#REF!</v>
      </c>
      <c r="D61" s="93">
        <v>1.0</v>
      </c>
      <c r="E61" s="94">
        <v>0.25</v>
      </c>
      <c r="F61" s="95" t="str">
        <f>H61</f>
        <v>#REF!</v>
      </c>
      <c r="G61" s="95">
        <v>0.0</v>
      </c>
      <c r="H61" s="95" t="str">
        <f>C61-(C61*E61)</f>
        <v>#REF!</v>
      </c>
      <c r="I61" s="118" t="str">
        <f>H61/J61</f>
        <v>#REF!</v>
      </c>
      <c r="J61" s="93">
        <v>477.0</v>
      </c>
      <c r="K61" s="59"/>
      <c r="L61" s="13"/>
      <c r="M61" s="56"/>
      <c r="N61" s="253" t="str">
        <f>C61</f>
        <v>#REF!</v>
      </c>
      <c r="O61" s="93">
        <v>1.0</v>
      </c>
      <c r="P61" s="94" t="str">
        <f>(N61-S61)/N61</f>
        <v>#REF!</v>
      </c>
      <c r="Q61" s="95" t="str">
        <f>S61</f>
        <v>#REF!</v>
      </c>
      <c r="R61" s="95">
        <v>0.0</v>
      </c>
      <c r="S61" s="95" t="str">
        <f t="shared" ref="S61:S63" si="103">H61*0.95</f>
        <v>#REF!</v>
      </c>
      <c r="T61" s="95" t="str">
        <f>S61/U61</f>
        <v>#REF!</v>
      </c>
      <c r="U61" s="93">
        <v>477.0</v>
      </c>
      <c r="V61" s="59"/>
      <c r="W61" s="91"/>
      <c r="X61" s="56"/>
      <c r="Y61" s="253" t="str">
        <f>+C61</f>
        <v>#REF!</v>
      </c>
      <c r="Z61" s="93">
        <v>1.0</v>
      </c>
      <c r="AA61" s="94" t="str">
        <f>(Y61-AD61)/Y61</f>
        <v>#REF!</v>
      </c>
      <c r="AB61" s="95" t="str">
        <f>AD61</f>
        <v>#REF!</v>
      </c>
      <c r="AC61" s="95">
        <v>0.0</v>
      </c>
      <c r="AD61" s="95" t="str">
        <f t="shared" ref="AD61:AD63" si="104">H61*0.9</f>
        <v>#REF!</v>
      </c>
      <c r="AE61" s="95" t="str">
        <f>AD61/AF61</f>
        <v>#REF!</v>
      </c>
      <c r="AF61" s="93">
        <v>477.0</v>
      </c>
      <c r="AG61" s="59"/>
      <c r="AH61" s="91"/>
      <c r="AI61" s="56"/>
      <c r="AJ61" s="253" t="str">
        <f>C61</f>
        <v>#REF!</v>
      </c>
      <c r="AK61" s="93">
        <v>1.0</v>
      </c>
      <c r="AL61" s="94" t="str">
        <f>(AJ61-AO61)/AJ61</f>
        <v>#REF!</v>
      </c>
      <c r="AM61" s="95" t="str">
        <f>AO61</f>
        <v>#REF!</v>
      </c>
      <c r="AN61" s="95">
        <v>0.0</v>
      </c>
      <c r="AO61" s="95" t="str">
        <f t="shared" ref="AO61:AO63" si="105">H61*0.85</f>
        <v>#REF!</v>
      </c>
      <c r="AP61" s="118" t="str">
        <f>AO61/AQ61</f>
        <v>#REF!</v>
      </c>
      <c r="AQ61" s="93">
        <v>477.0</v>
      </c>
      <c r="AR61" s="59"/>
      <c r="AS61" s="19"/>
      <c r="AT61" s="56"/>
      <c r="AU61" s="253" t="str">
        <f>C61</f>
        <v>#REF!</v>
      </c>
      <c r="AV61" s="93">
        <v>1.0</v>
      </c>
      <c r="AW61" s="94" t="str">
        <f>(AU61-AZ61)/AU61</f>
        <v>#REF!</v>
      </c>
      <c r="AX61" s="95" t="str">
        <f>AZ61</f>
        <v>#REF!</v>
      </c>
      <c r="AY61" s="95">
        <v>0.0</v>
      </c>
      <c r="AZ61" s="95" t="str">
        <f t="shared" ref="AZ61:AZ63" si="106">H61*0.8</f>
        <v>#REF!</v>
      </c>
      <c r="BA61" s="95" t="str">
        <f>AZ61/BB61</f>
        <v>#REF!</v>
      </c>
      <c r="BB61" s="93">
        <v>477.0</v>
      </c>
      <c r="BC61" s="59"/>
      <c r="BD61" s="91"/>
    </row>
    <row r="62" ht="13.5" customHeight="1">
      <c r="A62" s="13"/>
      <c r="B62" s="56"/>
      <c r="C62" s="130"/>
      <c r="D62" s="93">
        <v>3.0</v>
      </c>
      <c r="E62" s="94">
        <v>0.2</v>
      </c>
      <c r="F62" s="97" t="str">
        <f t="shared" ref="F62:F63" si="107">H62/D62</f>
        <v>#REF!</v>
      </c>
      <c r="G62" s="95" t="str">
        <f t="shared" ref="G62:G63" si="108">(H62-F62)/(D62-1)</f>
        <v>#REF!</v>
      </c>
      <c r="H62" s="95" t="str">
        <f>C61-(C61*E62)</f>
        <v>#REF!</v>
      </c>
      <c r="I62" s="118" t="str">
        <f>H62/J61</f>
        <v>#REF!</v>
      </c>
      <c r="J62" s="99">
        <f>J61/D62</f>
        <v>159</v>
      </c>
      <c r="K62" s="59"/>
      <c r="L62" s="13"/>
      <c r="M62" s="56"/>
      <c r="N62" s="130"/>
      <c r="O62" s="93">
        <f t="shared" ref="O62:O63" si="109">D62</f>
        <v>3</v>
      </c>
      <c r="P62" s="94" t="str">
        <f>(N61-S62)/N61</f>
        <v>#REF!</v>
      </c>
      <c r="Q62" s="97" t="str">
        <f t="shared" ref="Q62:Q63" si="110">F62-(F62*5%)</f>
        <v>#REF!</v>
      </c>
      <c r="R62" s="95" t="str">
        <f t="shared" ref="R62:R63" si="111">(S62-Q62)/(O62-1)</f>
        <v>#REF!</v>
      </c>
      <c r="S62" s="95" t="str">
        <f t="shared" si="103"/>
        <v>#REF!</v>
      </c>
      <c r="T62" s="118" t="str">
        <f>S62/U61</f>
        <v>#REF!</v>
      </c>
      <c r="U62" s="99">
        <f>U61/O62</f>
        <v>159</v>
      </c>
      <c r="V62" s="59"/>
      <c r="W62" s="91"/>
      <c r="X62" s="56"/>
      <c r="Y62" s="130"/>
      <c r="Z62" s="93">
        <f>D62</f>
        <v>3</v>
      </c>
      <c r="AA62" s="94" t="str">
        <f>(Y61-AD62)/Y61</f>
        <v>#REF!</v>
      </c>
      <c r="AB62" s="97" t="str">
        <f t="shared" ref="AB62:AB63" si="112">F62-(F62*10%)</f>
        <v>#REF!</v>
      </c>
      <c r="AC62" s="95" t="str">
        <f t="shared" ref="AC62:AC63" si="113">(AD62-AB62)/(Z62-1)</f>
        <v>#REF!</v>
      </c>
      <c r="AD62" s="95" t="str">
        <f t="shared" si="104"/>
        <v>#REF!</v>
      </c>
      <c r="AE62" s="118" t="str">
        <f>AD62/AF61</f>
        <v>#REF!</v>
      </c>
      <c r="AF62" s="99">
        <f>AF61/Z62</f>
        <v>159</v>
      </c>
      <c r="AG62" s="59"/>
      <c r="AH62" s="91"/>
      <c r="AI62" s="56"/>
      <c r="AJ62" s="130"/>
      <c r="AK62" s="93">
        <f>D62</f>
        <v>3</v>
      </c>
      <c r="AL62" s="94" t="str">
        <f>(AJ61-AO62)/AJ61</f>
        <v>#REF!</v>
      </c>
      <c r="AM62" s="97" t="str">
        <f t="shared" ref="AM62:AM63" si="114">F62-(F62*15%)</f>
        <v>#REF!</v>
      </c>
      <c r="AN62" s="95" t="str">
        <f t="shared" ref="AN62:AN63" si="115">(AO62-AM62)/(AK62-1)</f>
        <v>#REF!</v>
      </c>
      <c r="AO62" s="95" t="str">
        <f t="shared" si="105"/>
        <v>#REF!</v>
      </c>
      <c r="AP62" s="118" t="str">
        <f>AO62/AQ61</f>
        <v>#REF!</v>
      </c>
      <c r="AQ62" s="99">
        <f>AQ61/AK62</f>
        <v>159</v>
      </c>
      <c r="AR62" s="59"/>
      <c r="AS62" s="19"/>
      <c r="AT62" s="56"/>
      <c r="AU62" s="130"/>
      <c r="AV62" s="93">
        <f>D62</f>
        <v>3</v>
      </c>
      <c r="AW62" s="94" t="str">
        <f>(AU61-AZ62)/AU61</f>
        <v>#REF!</v>
      </c>
      <c r="AX62" s="97" t="str">
        <f t="shared" ref="AX62:AX63" si="116">F62-(F62*20%)</f>
        <v>#REF!</v>
      </c>
      <c r="AY62" s="95" t="str">
        <f t="shared" ref="AY62:AY63" si="117">(AZ62-AX62)/(AV62-1)</f>
        <v>#REF!</v>
      </c>
      <c r="AZ62" s="95" t="str">
        <f t="shared" si="106"/>
        <v>#REF!</v>
      </c>
      <c r="BA62" s="118" t="str">
        <f>AZ62/BB61</f>
        <v>#REF!</v>
      </c>
      <c r="BB62" s="99">
        <f>BB61/AV62</f>
        <v>159</v>
      </c>
      <c r="BC62" s="59"/>
      <c r="BD62" s="91"/>
    </row>
    <row r="63" ht="13.5" customHeight="1">
      <c r="A63" s="13"/>
      <c r="B63" s="56"/>
      <c r="C63" s="96"/>
      <c r="D63" s="93">
        <v>13.0</v>
      </c>
      <c r="E63" s="94">
        <v>0.15</v>
      </c>
      <c r="F63" s="97" t="str">
        <f t="shared" si="107"/>
        <v>#REF!</v>
      </c>
      <c r="G63" s="95" t="str">
        <f t="shared" si="108"/>
        <v>#REF!</v>
      </c>
      <c r="H63" s="95" t="str">
        <f>C61-(C61*E63)</f>
        <v>#REF!</v>
      </c>
      <c r="I63" s="118" t="str">
        <f>H63/J61</f>
        <v>#REF!</v>
      </c>
      <c r="J63" s="99">
        <f>J61/D63</f>
        <v>36.69230769</v>
      </c>
      <c r="K63" s="59"/>
      <c r="L63" s="13"/>
      <c r="M63" s="56"/>
      <c r="N63" s="96"/>
      <c r="O63" s="93">
        <f t="shared" si="109"/>
        <v>13</v>
      </c>
      <c r="P63" s="94" t="str">
        <f>(N61-S63)/N61</f>
        <v>#REF!</v>
      </c>
      <c r="Q63" s="97" t="str">
        <f t="shared" si="110"/>
        <v>#REF!</v>
      </c>
      <c r="R63" s="95" t="str">
        <f t="shared" si="111"/>
        <v>#REF!</v>
      </c>
      <c r="S63" s="95" t="str">
        <f t="shared" si="103"/>
        <v>#REF!</v>
      </c>
      <c r="T63" s="95" t="str">
        <f>S63/U61</f>
        <v>#REF!</v>
      </c>
      <c r="U63" s="99">
        <f>U61/O63</f>
        <v>36.69230769</v>
      </c>
      <c r="V63" s="59"/>
      <c r="W63" s="19"/>
      <c r="X63" s="56"/>
      <c r="Y63" s="96"/>
      <c r="Z63" s="93">
        <f>+D63</f>
        <v>13</v>
      </c>
      <c r="AA63" s="94" t="str">
        <f>(Y61-AD63)/Y61</f>
        <v>#REF!</v>
      </c>
      <c r="AB63" s="97" t="str">
        <f t="shared" si="112"/>
        <v>#REF!</v>
      </c>
      <c r="AC63" s="95" t="str">
        <f t="shared" si="113"/>
        <v>#REF!</v>
      </c>
      <c r="AD63" s="95" t="str">
        <f t="shared" si="104"/>
        <v>#REF!</v>
      </c>
      <c r="AE63" s="95" t="str">
        <f>AD63/AF61</f>
        <v>#REF!</v>
      </c>
      <c r="AF63" s="99">
        <f>AF61/Z63</f>
        <v>36.69230769</v>
      </c>
      <c r="AG63" s="59"/>
      <c r="AH63" s="19"/>
      <c r="AI63" s="56"/>
      <c r="AJ63" s="96"/>
      <c r="AK63" s="93">
        <f>+D63</f>
        <v>13</v>
      </c>
      <c r="AL63" s="94" t="str">
        <f>(AJ61-AO63)/AJ61</f>
        <v>#REF!</v>
      </c>
      <c r="AM63" s="97" t="str">
        <f t="shared" si="114"/>
        <v>#REF!</v>
      </c>
      <c r="AN63" s="95" t="str">
        <f t="shared" si="115"/>
        <v>#REF!</v>
      </c>
      <c r="AO63" s="95" t="str">
        <f t="shared" si="105"/>
        <v>#REF!</v>
      </c>
      <c r="AP63" s="118" t="str">
        <f>AO63/AQ61</f>
        <v>#REF!</v>
      </c>
      <c r="AQ63" s="99">
        <f>AQ61/AK63</f>
        <v>36.69230769</v>
      </c>
      <c r="AR63" s="59"/>
      <c r="AS63" s="147"/>
      <c r="AT63" s="56"/>
      <c r="AU63" s="96"/>
      <c r="AV63" s="93">
        <f>+D63</f>
        <v>13</v>
      </c>
      <c r="AW63" s="94" t="str">
        <f>(AU61-AZ63)/AU61</f>
        <v>#REF!</v>
      </c>
      <c r="AX63" s="97" t="str">
        <f t="shared" si="116"/>
        <v>#REF!</v>
      </c>
      <c r="AY63" s="95" t="str">
        <f t="shared" si="117"/>
        <v>#REF!</v>
      </c>
      <c r="AZ63" s="95" t="str">
        <f t="shared" si="106"/>
        <v>#REF!</v>
      </c>
      <c r="BA63" s="95" t="str">
        <f>AZ63/BB61</f>
        <v>#REF!</v>
      </c>
      <c r="BB63" s="99">
        <f>BB61/AV63</f>
        <v>36.69230769</v>
      </c>
      <c r="BC63" s="59"/>
      <c r="BD63" s="19"/>
    </row>
    <row r="64" ht="13.5" customHeight="1">
      <c r="A64" s="13"/>
      <c r="B64" s="56"/>
      <c r="C64" s="13"/>
      <c r="D64" s="13"/>
      <c r="E64" s="13"/>
      <c r="F64" s="13"/>
      <c r="G64" s="13"/>
      <c r="H64" s="13"/>
      <c r="I64" s="19"/>
      <c r="J64" s="13"/>
      <c r="K64" s="59"/>
      <c r="L64" s="13"/>
      <c r="M64" s="56"/>
      <c r="N64" s="13"/>
      <c r="O64" s="13"/>
      <c r="P64" s="13"/>
      <c r="Q64" s="13"/>
      <c r="R64" s="13"/>
      <c r="S64" s="13"/>
      <c r="T64" s="13"/>
      <c r="U64" s="13"/>
      <c r="V64" s="59"/>
      <c r="W64" s="147"/>
      <c r="X64" s="56"/>
      <c r="Y64" s="13"/>
      <c r="Z64" s="13"/>
      <c r="AA64" s="13"/>
      <c r="AB64" s="13"/>
      <c r="AC64" s="13"/>
      <c r="AD64" s="13"/>
      <c r="AE64" s="13"/>
      <c r="AF64" s="13"/>
      <c r="AG64" s="59"/>
      <c r="AH64" s="147"/>
      <c r="AI64" s="56"/>
      <c r="AJ64" s="13"/>
      <c r="AK64" s="13"/>
      <c r="AL64" s="13"/>
      <c r="AM64" s="13"/>
      <c r="AN64" s="13"/>
      <c r="AO64" s="13"/>
      <c r="AP64" s="13"/>
      <c r="AQ64" s="13"/>
      <c r="AR64" s="59"/>
      <c r="AS64" s="13"/>
      <c r="AT64" s="56"/>
      <c r="AU64" s="13"/>
      <c r="AV64" s="13"/>
      <c r="AW64" s="13"/>
      <c r="AX64" s="13"/>
      <c r="AY64" s="13"/>
      <c r="AZ64" s="13"/>
      <c r="BA64" s="13"/>
      <c r="BB64" s="13"/>
      <c r="BC64" s="59"/>
      <c r="BD64" s="147"/>
    </row>
    <row r="65" ht="35.25" customHeight="1">
      <c r="A65" s="13"/>
      <c r="B65" s="56"/>
      <c r="C65" s="77" t="s">
        <v>131</v>
      </c>
      <c r="D65" s="78"/>
      <c r="E65" s="78"/>
      <c r="F65" s="78"/>
      <c r="G65" s="78"/>
      <c r="H65" s="78"/>
      <c r="I65" s="78"/>
      <c r="J65" s="79"/>
      <c r="K65" s="59"/>
      <c r="L65" s="13"/>
      <c r="M65" s="56"/>
      <c r="N65" s="77" t="str">
        <f>C65</f>
        <v>Plan 4 Niveles
 (522 Horas Reloj Niveles A1, A2 , B1 y B2)</v>
      </c>
      <c r="O65" s="78"/>
      <c r="P65" s="78"/>
      <c r="Q65" s="78"/>
      <c r="R65" s="78"/>
      <c r="S65" s="78"/>
      <c r="T65" s="78"/>
      <c r="U65" s="79"/>
      <c r="V65" s="59"/>
      <c r="W65" s="13"/>
      <c r="X65" s="56"/>
      <c r="Y65" s="77" t="str">
        <f>C65</f>
        <v>Plan 4 Niveles
 (522 Horas Reloj Niveles A1, A2 , B1 y B2)</v>
      </c>
      <c r="Z65" s="78"/>
      <c r="AA65" s="78"/>
      <c r="AB65" s="78"/>
      <c r="AC65" s="78"/>
      <c r="AD65" s="78"/>
      <c r="AE65" s="78"/>
      <c r="AF65" s="114"/>
      <c r="AG65" s="59"/>
      <c r="AH65" s="13"/>
      <c r="AI65" s="56"/>
      <c r="AJ65" s="77" t="str">
        <f>C65</f>
        <v>Plan 4 Niveles
 (522 Horas Reloj Niveles A1, A2 , B1 y B2)</v>
      </c>
      <c r="AK65" s="78"/>
      <c r="AL65" s="78"/>
      <c r="AM65" s="78"/>
      <c r="AN65" s="78"/>
      <c r="AO65" s="78"/>
      <c r="AP65" s="78"/>
      <c r="AQ65" s="79"/>
      <c r="AR65" s="59"/>
      <c r="AS65" s="81"/>
      <c r="AT65" s="56"/>
      <c r="AU65" s="77" t="str">
        <f>C65</f>
        <v>Plan 4 Niveles
 (522 Horas Reloj Niveles A1, A2 , B1 y B2)</v>
      </c>
      <c r="AV65" s="78"/>
      <c r="AW65" s="78"/>
      <c r="AX65" s="78"/>
      <c r="AY65" s="78"/>
      <c r="AZ65" s="78"/>
      <c r="BA65" s="78"/>
      <c r="BB65" s="79"/>
      <c r="BC65" s="59"/>
      <c r="BD65" s="13"/>
    </row>
    <row r="66" ht="13.5" customHeight="1">
      <c r="A66" s="13"/>
      <c r="B66" s="56"/>
      <c r="C66" s="255" t="s">
        <v>13</v>
      </c>
      <c r="D66" s="87" t="s">
        <v>14</v>
      </c>
      <c r="E66" s="87" t="s">
        <v>16</v>
      </c>
      <c r="F66" s="83" t="s">
        <v>17</v>
      </c>
      <c r="G66" s="83" t="s">
        <v>18</v>
      </c>
      <c r="H66" s="87" t="s">
        <v>19</v>
      </c>
      <c r="I66" s="117" t="s">
        <v>20</v>
      </c>
      <c r="J66" s="85" t="s">
        <v>22</v>
      </c>
      <c r="K66" s="59"/>
      <c r="L66" s="13"/>
      <c r="M66" s="56"/>
      <c r="N66" s="255" t="s">
        <v>13</v>
      </c>
      <c r="O66" s="87" t="s">
        <v>14</v>
      </c>
      <c r="P66" s="87" t="s">
        <v>16</v>
      </c>
      <c r="Q66" s="83" t="s">
        <v>17</v>
      </c>
      <c r="R66" s="83" t="s">
        <v>18</v>
      </c>
      <c r="S66" s="87" t="s">
        <v>19</v>
      </c>
      <c r="T66" s="89" t="s">
        <v>20</v>
      </c>
      <c r="U66" s="85" t="s">
        <v>22</v>
      </c>
      <c r="V66" s="59"/>
      <c r="W66" s="81"/>
      <c r="X66" s="56"/>
      <c r="Y66" s="255" t="s">
        <v>13</v>
      </c>
      <c r="Z66" s="87" t="s">
        <v>14</v>
      </c>
      <c r="AA66" s="87" t="s">
        <v>16</v>
      </c>
      <c r="AB66" s="83" t="s">
        <v>17</v>
      </c>
      <c r="AC66" s="83" t="s">
        <v>18</v>
      </c>
      <c r="AD66" s="87" t="s">
        <v>19</v>
      </c>
      <c r="AE66" s="89" t="s">
        <v>20</v>
      </c>
      <c r="AF66" s="85" t="s">
        <v>22</v>
      </c>
      <c r="AG66" s="59"/>
      <c r="AH66" s="81"/>
      <c r="AI66" s="56"/>
      <c r="AJ66" s="255" t="s">
        <v>13</v>
      </c>
      <c r="AK66" s="87" t="s">
        <v>14</v>
      </c>
      <c r="AL66" s="87" t="s">
        <v>16</v>
      </c>
      <c r="AM66" s="83" t="s">
        <v>17</v>
      </c>
      <c r="AN66" s="83" t="s">
        <v>18</v>
      </c>
      <c r="AO66" s="87" t="s">
        <v>19</v>
      </c>
      <c r="AP66" s="117" t="s">
        <v>20</v>
      </c>
      <c r="AQ66" s="85" t="s">
        <v>22</v>
      </c>
      <c r="AR66" s="59"/>
      <c r="AS66" s="91"/>
      <c r="AT66" s="56"/>
      <c r="AU66" s="255" t="s">
        <v>13</v>
      </c>
      <c r="AV66" s="83" t="s">
        <v>14</v>
      </c>
      <c r="AW66" s="83" t="s">
        <v>16</v>
      </c>
      <c r="AX66" s="83" t="s">
        <v>17</v>
      </c>
      <c r="AY66" s="83" t="s">
        <v>18</v>
      </c>
      <c r="AZ66" s="83" t="s">
        <v>19</v>
      </c>
      <c r="BA66" s="84" t="s">
        <v>20</v>
      </c>
      <c r="BB66" s="85" t="s">
        <v>22</v>
      </c>
      <c r="BC66" s="59"/>
      <c r="BD66" s="81"/>
    </row>
    <row r="67" ht="13.5" customHeight="1">
      <c r="A67" s="13"/>
      <c r="B67" s="56"/>
      <c r="C67" s="256" t="str">
        <f>C8+C13+C18+C18</f>
        <v>#REF!</v>
      </c>
      <c r="D67" s="93">
        <v>1.0</v>
      </c>
      <c r="E67" s="257">
        <v>0.35</v>
      </c>
      <c r="F67" s="95" t="str">
        <f>H67</f>
        <v>#REF!</v>
      </c>
      <c r="G67" s="95">
        <v>0.0</v>
      </c>
      <c r="H67" s="95" t="str">
        <f>C67-(C67*E67)</f>
        <v>#REF!</v>
      </c>
      <c r="I67" s="118" t="str">
        <f>H67/J67</f>
        <v>#REF!</v>
      </c>
      <c r="J67" s="93">
        <v>522.0</v>
      </c>
      <c r="K67" s="59"/>
      <c r="L67" s="13"/>
      <c r="M67" s="56"/>
      <c r="N67" s="256" t="str">
        <f>C67</f>
        <v>#REF!</v>
      </c>
      <c r="O67" s="93">
        <v>1.0</v>
      </c>
      <c r="P67" s="94" t="str">
        <f>(N67-S67)/N67</f>
        <v>#REF!</v>
      </c>
      <c r="Q67" s="95" t="str">
        <f>S67</f>
        <v>#REF!</v>
      </c>
      <c r="R67" s="95">
        <v>0.0</v>
      </c>
      <c r="S67" s="95" t="str">
        <f t="shared" ref="S67:S69" si="118">H67*0.95</f>
        <v>#REF!</v>
      </c>
      <c r="T67" s="95" t="str">
        <f>S67/U67</f>
        <v>#REF!</v>
      </c>
      <c r="U67" s="93">
        <v>522.0</v>
      </c>
      <c r="V67" s="59"/>
      <c r="W67" s="91"/>
      <c r="X67" s="56"/>
      <c r="Y67" s="256" t="str">
        <f>C67</f>
        <v>#REF!</v>
      </c>
      <c r="Z67" s="93">
        <v>1.0</v>
      </c>
      <c r="AA67" s="94" t="str">
        <f>(Y67-AD67)/Y67</f>
        <v>#REF!</v>
      </c>
      <c r="AB67" s="95" t="str">
        <f>AD67</f>
        <v>#REF!</v>
      </c>
      <c r="AC67" s="95">
        <v>0.0</v>
      </c>
      <c r="AD67" s="95" t="str">
        <f t="shared" ref="AD67:AD69" si="119">H67*0.9</f>
        <v>#REF!</v>
      </c>
      <c r="AE67" s="95" t="str">
        <f>AD67/AF67</f>
        <v>#REF!</v>
      </c>
      <c r="AF67" s="93">
        <v>522.0</v>
      </c>
      <c r="AG67" s="59"/>
      <c r="AH67" s="91"/>
      <c r="AI67" s="56"/>
      <c r="AJ67" s="256" t="str">
        <f>C67</f>
        <v>#REF!</v>
      </c>
      <c r="AK67" s="93">
        <v>1.0</v>
      </c>
      <c r="AL67" s="94" t="str">
        <f>(AJ67-AO67)/AJ67</f>
        <v>#REF!</v>
      </c>
      <c r="AM67" s="95" t="str">
        <f>AO67</f>
        <v>#REF!</v>
      </c>
      <c r="AN67" s="95">
        <v>0.0</v>
      </c>
      <c r="AO67" s="95" t="str">
        <f t="shared" ref="AO67:AO69" si="120">H67*0.85</f>
        <v>#REF!</v>
      </c>
      <c r="AP67" s="118" t="str">
        <f>AO67/AQ67</f>
        <v>#REF!</v>
      </c>
      <c r="AQ67" s="93">
        <v>522.0</v>
      </c>
      <c r="AR67" s="59"/>
      <c r="AS67" s="19"/>
      <c r="AT67" s="56"/>
      <c r="AU67" s="256" t="str">
        <f>C67</f>
        <v>#REF!</v>
      </c>
      <c r="AV67" s="93">
        <v>1.0</v>
      </c>
      <c r="AW67" s="94" t="str">
        <f>(AU67-AZ67)/AU67</f>
        <v>#REF!</v>
      </c>
      <c r="AX67" s="95" t="str">
        <f>AZ67</f>
        <v>#REF!</v>
      </c>
      <c r="AY67" s="95">
        <v>0.0</v>
      </c>
      <c r="AZ67" s="95" t="str">
        <f t="shared" ref="AZ67:AZ69" si="121">H67*0.8</f>
        <v>#REF!</v>
      </c>
      <c r="BA67" s="95" t="str">
        <f>AZ67/BB67</f>
        <v>#REF!</v>
      </c>
      <c r="BB67" s="93">
        <v>522.0</v>
      </c>
      <c r="BC67" s="59"/>
      <c r="BD67" s="91"/>
    </row>
    <row r="68" ht="13.5" customHeight="1">
      <c r="A68" s="13"/>
      <c r="B68" s="56"/>
      <c r="C68" s="130"/>
      <c r="D68" s="93">
        <v>4.0</v>
      </c>
      <c r="E68" s="257">
        <v>0.3</v>
      </c>
      <c r="F68" s="97" t="str">
        <f t="shared" ref="F68:F69" si="122">H68/D68</f>
        <v>#REF!</v>
      </c>
      <c r="G68" s="95" t="str">
        <f t="shared" ref="G68:G69" si="123">(H68-F68)/(D68-1)</f>
        <v>#REF!</v>
      </c>
      <c r="H68" s="95" t="str">
        <f>C67-(C67*E68)</f>
        <v>#REF!</v>
      </c>
      <c r="I68" s="118" t="str">
        <f>H68/J67</f>
        <v>#REF!</v>
      </c>
      <c r="J68" s="99">
        <f>J67/D68</f>
        <v>130.5</v>
      </c>
      <c r="K68" s="59"/>
      <c r="L68" s="13"/>
      <c r="M68" s="56"/>
      <c r="N68" s="130"/>
      <c r="O68" s="93">
        <f t="shared" ref="O68:O69" si="124">D68</f>
        <v>4</v>
      </c>
      <c r="P68" s="94" t="str">
        <f>(N67-S68)/N67</f>
        <v>#REF!</v>
      </c>
      <c r="Q68" s="97" t="str">
        <f t="shared" ref="Q68:Q69" si="125">F68-(F68*5%)</f>
        <v>#REF!</v>
      </c>
      <c r="R68" s="95" t="str">
        <f t="shared" ref="R68:R69" si="126">(S68-Q68)/(O68-1)</f>
        <v>#REF!</v>
      </c>
      <c r="S68" s="95" t="str">
        <f t="shared" si="118"/>
        <v>#REF!</v>
      </c>
      <c r="T68" s="118" t="str">
        <f>S68/U67</f>
        <v>#REF!</v>
      </c>
      <c r="U68" s="99">
        <f>U67/O68</f>
        <v>130.5</v>
      </c>
      <c r="V68" s="59"/>
      <c r="W68" s="91"/>
      <c r="X68" s="56"/>
      <c r="Y68" s="130"/>
      <c r="Z68" s="93">
        <f>D68</f>
        <v>4</v>
      </c>
      <c r="AA68" s="94" t="str">
        <f>(Y67-AD68)/Y67</f>
        <v>#REF!</v>
      </c>
      <c r="AB68" s="97" t="str">
        <f t="shared" ref="AB68:AB69" si="127">F68-(F68*10%)</f>
        <v>#REF!</v>
      </c>
      <c r="AC68" s="95" t="str">
        <f t="shared" ref="AC68:AC69" si="128">(AD68-AB68)/(Z68-1)</f>
        <v>#REF!</v>
      </c>
      <c r="AD68" s="95" t="str">
        <f t="shared" si="119"/>
        <v>#REF!</v>
      </c>
      <c r="AE68" s="118" t="str">
        <f>AD68/AF67</f>
        <v>#REF!</v>
      </c>
      <c r="AF68" s="99">
        <f>AF67/Z68</f>
        <v>130.5</v>
      </c>
      <c r="AG68" s="59"/>
      <c r="AH68" s="91"/>
      <c r="AI68" s="56"/>
      <c r="AJ68" s="130"/>
      <c r="AK68" s="93">
        <f>D68</f>
        <v>4</v>
      </c>
      <c r="AL68" s="94" t="str">
        <f>(AJ67-AO68)/AJ67</f>
        <v>#REF!</v>
      </c>
      <c r="AM68" s="97" t="str">
        <f t="shared" ref="AM68:AM69" si="129">F68-(F68*15%)</f>
        <v>#REF!</v>
      </c>
      <c r="AN68" s="95" t="str">
        <f t="shared" ref="AN68:AN69" si="130">(AO68-AM68)/(AK68-1)</f>
        <v>#REF!</v>
      </c>
      <c r="AO68" s="95" t="str">
        <f t="shared" si="120"/>
        <v>#REF!</v>
      </c>
      <c r="AP68" s="118" t="str">
        <f>AO68/AQ67</f>
        <v>#REF!</v>
      </c>
      <c r="AQ68" s="99">
        <f>AQ67/AK68</f>
        <v>130.5</v>
      </c>
      <c r="AR68" s="59"/>
      <c r="AS68" s="19"/>
      <c r="AT68" s="56"/>
      <c r="AU68" s="130"/>
      <c r="AV68" s="93">
        <f>D68</f>
        <v>4</v>
      </c>
      <c r="AW68" s="94" t="str">
        <f>(AU67-AZ68)/AU67</f>
        <v>#REF!</v>
      </c>
      <c r="AX68" s="97" t="str">
        <f t="shared" ref="AX68:AX69" si="131">F68-(F68*20%)</f>
        <v>#REF!</v>
      </c>
      <c r="AY68" s="95" t="str">
        <f t="shared" ref="AY68:AY69" si="132">(AZ68-AX68)/(AV68-1)</f>
        <v>#REF!</v>
      </c>
      <c r="AZ68" s="95" t="str">
        <f t="shared" si="121"/>
        <v>#REF!</v>
      </c>
      <c r="BA68" s="118" t="str">
        <f>AZ68/BB67</f>
        <v>#REF!</v>
      </c>
      <c r="BB68" s="99">
        <f>BB67/AV68</f>
        <v>130.5</v>
      </c>
      <c r="BC68" s="59"/>
      <c r="BD68" s="91"/>
    </row>
    <row r="69" ht="13.5" customHeight="1">
      <c r="A69" s="13"/>
      <c r="B69" s="56"/>
      <c r="C69" s="96"/>
      <c r="D69" s="93">
        <v>15.0</v>
      </c>
      <c r="E69" s="257">
        <v>0.25</v>
      </c>
      <c r="F69" s="97" t="str">
        <f t="shared" si="122"/>
        <v>#REF!</v>
      </c>
      <c r="G69" s="95" t="str">
        <f t="shared" si="123"/>
        <v>#REF!</v>
      </c>
      <c r="H69" s="95" t="str">
        <f>C67-(C67*E69)</f>
        <v>#REF!</v>
      </c>
      <c r="I69" s="118" t="str">
        <f>H69/J67</f>
        <v>#REF!</v>
      </c>
      <c r="J69" s="99">
        <f>J67/D69</f>
        <v>34.8</v>
      </c>
      <c r="K69" s="59"/>
      <c r="L69" s="13"/>
      <c r="M69" s="56"/>
      <c r="N69" s="96"/>
      <c r="O69" s="93">
        <f t="shared" si="124"/>
        <v>15</v>
      </c>
      <c r="P69" s="94" t="str">
        <f>(N67-S69)/N67</f>
        <v>#REF!</v>
      </c>
      <c r="Q69" s="97" t="str">
        <f t="shared" si="125"/>
        <v>#REF!</v>
      </c>
      <c r="R69" s="95" t="str">
        <f t="shared" si="126"/>
        <v>#REF!</v>
      </c>
      <c r="S69" s="95" t="str">
        <f t="shared" si="118"/>
        <v>#REF!</v>
      </c>
      <c r="T69" s="95" t="str">
        <f>S69/U67</f>
        <v>#REF!</v>
      </c>
      <c r="U69" s="99">
        <f>U67/O69</f>
        <v>34.8</v>
      </c>
      <c r="V69" s="59"/>
      <c r="W69" s="19"/>
      <c r="X69" s="56"/>
      <c r="Y69" s="96"/>
      <c r="Z69" s="93">
        <f>+D69</f>
        <v>15</v>
      </c>
      <c r="AA69" s="94" t="str">
        <f>(Y67-AD69)/Y67</f>
        <v>#REF!</v>
      </c>
      <c r="AB69" s="97" t="str">
        <f t="shared" si="127"/>
        <v>#REF!</v>
      </c>
      <c r="AC69" s="95" t="str">
        <f t="shared" si="128"/>
        <v>#REF!</v>
      </c>
      <c r="AD69" s="95" t="str">
        <f t="shared" si="119"/>
        <v>#REF!</v>
      </c>
      <c r="AE69" s="95" t="str">
        <f>AD69/AF67</f>
        <v>#REF!</v>
      </c>
      <c r="AF69" s="99">
        <f>AF67/Z69</f>
        <v>34.8</v>
      </c>
      <c r="AG69" s="59"/>
      <c r="AH69" s="19"/>
      <c r="AI69" s="56"/>
      <c r="AJ69" s="96"/>
      <c r="AK69" s="93">
        <f>+D69</f>
        <v>15</v>
      </c>
      <c r="AL69" s="257" t="str">
        <f>(AJ67-AO69)/AJ67</f>
        <v>#REF!</v>
      </c>
      <c r="AM69" s="97" t="str">
        <f t="shared" si="129"/>
        <v>#REF!</v>
      </c>
      <c r="AN69" s="95" t="str">
        <f t="shared" si="130"/>
        <v>#REF!</v>
      </c>
      <c r="AO69" s="95" t="str">
        <f t="shared" si="120"/>
        <v>#REF!</v>
      </c>
      <c r="AP69" s="118" t="str">
        <f>AO69/AQ67</f>
        <v>#REF!</v>
      </c>
      <c r="AQ69" s="99">
        <f>AQ67/AK69</f>
        <v>34.8</v>
      </c>
      <c r="AR69" s="59"/>
      <c r="AS69" s="147"/>
      <c r="AT69" s="56"/>
      <c r="AU69" s="96"/>
      <c r="AV69" s="93">
        <f>+D69</f>
        <v>15</v>
      </c>
      <c r="AW69" s="257" t="str">
        <f>(AU67-AZ69)/AU67</f>
        <v>#REF!</v>
      </c>
      <c r="AX69" s="97" t="str">
        <f t="shared" si="131"/>
        <v>#REF!</v>
      </c>
      <c r="AY69" s="95" t="str">
        <f t="shared" si="132"/>
        <v>#REF!</v>
      </c>
      <c r="AZ69" s="95" t="str">
        <f t="shared" si="121"/>
        <v>#REF!</v>
      </c>
      <c r="BA69" s="95" t="str">
        <f>AZ69/BB67</f>
        <v>#REF!</v>
      </c>
      <c r="BB69" s="99">
        <f>BB67/AV69</f>
        <v>34.8</v>
      </c>
      <c r="BC69" s="59"/>
      <c r="BD69" s="19"/>
    </row>
    <row r="70" ht="13.5" customHeight="1">
      <c r="A70" s="13"/>
      <c r="B70" s="56"/>
      <c r="C70" s="13"/>
      <c r="D70" s="13"/>
      <c r="E70" s="13"/>
      <c r="F70" s="13"/>
      <c r="G70" s="13"/>
      <c r="H70" s="13"/>
      <c r="I70" s="19"/>
      <c r="J70" s="13"/>
      <c r="K70" s="59"/>
      <c r="L70" s="13"/>
      <c r="M70" s="56"/>
      <c r="N70" s="13"/>
      <c r="O70" s="13"/>
      <c r="P70" s="13"/>
      <c r="Q70" s="13"/>
      <c r="R70" s="13"/>
      <c r="S70" s="13"/>
      <c r="T70" s="13"/>
      <c r="U70" s="13"/>
      <c r="V70" s="59"/>
      <c r="W70" s="13"/>
      <c r="X70" s="56"/>
      <c r="Y70" s="13"/>
      <c r="Z70" s="13"/>
      <c r="AA70" s="13"/>
      <c r="AB70" s="13"/>
      <c r="AC70" s="13"/>
      <c r="AD70" s="13"/>
      <c r="AE70" s="13"/>
      <c r="AF70" s="13"/>
      <c r="AG70" s="59"/>
      <c r="AH70" s="13"/>
      <c r="AI70" s="56"/>
      <c r="AJ70" s="13"/>
      <c r="AK70" s="13"/>
      <c r="AL70" s="13"/>
      <c r="AM70" s="13"/>
      <c r="AN70" s="13"/>
      <c r="AO70" s="13"/>
      <c r="AP70" s="13"/>
      <c r="AQ70" s="13"/>
      <c r="AR70" s="59"/>
      <c r="AS70" s="13"/>
      <c r="AT70" s="56"/>
      <c r="AU70" s="13"/>
      <c r="AV70" s="13"/>
      <c r="AW70" s="13"/>
      <c r="AX70" s="13"/>
      <c r="AY70" s="13"/>
      <c r="AZ70" s="13"/>
      <c r="BA70" s="13"/>
      <c r="BB70" s="13"/>
      <c r="BC70" s="59"/>
      <c r="BD70" s="13"/>
    </row>
    <row r="71" ht="35.25" customHeight="1">
      <c r="A71" s="13"/>
      <c r="B71" s="56"/>
      <c r="C71" s="77" t="s">
        <v>132</v>
      </c>
      <c r="D71" s="78"/>
      <c r="E71" s="78"/>
      <c r="F71" s="78"/>
      <c r="G71" s="78"/>
      <c r="H71" s="78"/>
      <c r="I71" s="78"/>
      <c r="J71" s="79"/>
      <c r="K71" s="59"/>
      <c r="L71" s="13"/>
      <c r="M71" s="56"/>
      <c r="N71" s="77" t="str">
        <f>C71</f>
        <v>Plan 4 Niveles
 (591 Horas Reloj Niveles A2, B1, B2 y C1)</v>
      </c>
      <c r="O71" s="78"/>
      <c r="P71" s="78"/>
      <c r="Q71" s="78"/>
      <c r="R71" s="78"/>
      <c r="S71" s="78"/>
      <c r="T71" s="78"/>
      <c r="U71" s="79"/>
      <c r="V71" s="59"/>
      <c r="W71" s="13"/>
      <c r="X71" s="56"/>
      <c r="Y71" s="77" t="str">
        <f>C71</f>
        <v>Plan 4 Niveles
 (591 Horas Reloj Niveles A2, B1, B2 y C1)</v>
      </c>
      <c r="Z71" s="78"/>
      <c r="AA71" s="78"/>
      <c r="AB71" s="78"/>
      <c r="AC71" s="78"/>
      <c r="AD71" s="78"/>
      <c r="AE71" s="78"/>
      <c r="AF71" s="114"/>
      <c r="AG71" s="59"/>
      <c r="AH71" s="13"/>
      <c r="AI71" s="56"/>
      <c r="AJ71" s="77" t="str">
        <f>C71</f>
        <v>Plan 4 Niveles
 (591 Horas Reloj Niveles A2, B1, B2 y C1)</v>
      </c>
      <c r="AK71" s="78"/>
      <c r="AL71" s="78"/>
      <c r="AM71" s="78"/>
      <c r="AN71" s="78"/>
      <c r="AO71" s="78"/>
      <c r="AP71" s="78"/>
      <c r="AQ71" s="79"/>
      <c r="AR71" s="59"/>
      <c r="AS71" s="81"/>
      <c r="AT71" s="56"/>
      <c r="AU71" s="77" t="str">
        <f>C71</f>
        <v>Plan 4 Niveles
 (591 Horas Reloj Niveles A2, B1, B2 y C1)</v>
      </c>
      <c r="AV71" s="78"/>
      <c r="AW71" s="78"/>
      <c r="AX71" s="78"/>
      <c r="AY71" s="78"/>
      <c r="AZ71" s="78"/>
      <c r="BA71" s="78"/>
      <c r="BB71" s="79"/>
      <c r="BC71" s="59"/>
      <c r="BD71" s="13"/>
    </row>
    <row r="72" ht="13.5" customHeight="1">
      <c r="A72" s="13"/>
      <c r="B72" s="56"/>
      <c r="C72" s="255" t="s">
        <v>13</v>
      </c>
      <c r="D72" s="87" t="s">
        <v>14</v>
      </c>
      <c r="E72" s="87" t="s">
        <v>16</v>
      </c>
      <c r="F72" s="83" t="s">
        <v>17</v>
      </c>
      <c r="G72" s="83" t="s">
        <v>18</v>
      </c>
      <c r="H72" s="87" t="s">
        <v>19</v>
      </c>
      <c r="I72" s="117" t="s">
        <v>20</v>
      </c>
      <c r="J72" s="85" t="s">
        <v>22</v>
      </c>
      <c r="K72" s="59"/>
      <c r="L72" s="13"/>
      <c r="M72" s="56"/>
      <c r="N72" s="255" t="s">
        <v>13</v>
      </c>
      <c r="O72" s="87" t="s">
        <v>14</v>
      </c>
      <c r="P72" s="87" t="s">
        <v>16</v>
      </c>
      <c r="Q72" s="83" t="s">
        <v>17</v>
      </c>
      <c r="R72" s="83" t="s">
        <v>18</v>
      </c>
      <c r="S72" s="87" t="s">
        <v>19</v>
      </c>
      <c r="T72" s="89" t="s">
        <v>20</v>
      </c>
      <c r="U72" s="85" t="s">
        <v>22</v>
      </c>
      <c r="V72" s="59"/>
      <c r="W72" s="81"/>
      <c r="X72" s="56"/>
      <c r="Y72" s="255" t="s">
        <v>13</v>
      </c>
      <c r="Z72" s="87" t="s">
        <v>14</v>
      </c>
      <c r="AA72" s="87" t="s">
        <v>16</v>
      </c>
      <c r="AB72" s="83" t="s">
        <v>17</v>
      </c>
      <c r="AC72" s="83" t="s">
        <v>18</v>
      </c>
      <c r="AD72" s="87" t="s">
        <v>19</v>
      </c>
      <c r="AE72" s="89" t="s">
        <v>20</v>
      </c>
      <c r="AF72" s="85" t="s">
        <v>22</v>
      </c>
      <c r="AG72" s="59"/>
      <c r="AH72" s="81"/>
      <c r="AI72" s="56"/>
      <c r="AJ72" s="255" t="s">
        <v>13</v>
      </c>
      <c r="AK72" s="87" t="s">
        <v>14</v>
      </c>
      <c r="AL72" s="87" t="s">
        <v>16</v>
      </c>
      <c r="AM72" s="83" t="s">
        <v>17</v>
      </c>
      <c r="AN72" s="83" t="s">
        <v>18</v>
      </c>
      <c r="AO72" s="87" t="s">
        <v>19</v>
      </c>
      <c r="AP72" s="117" t="s">
        <v>20</v>
      </c>
      <c r="AQ72" s="85" t="s">
        <v>22</v>
      </c>
      <c r="AR72" s="59"/>
      <c r="AS72" s="91"/>
      <c r="AT72" s="56"/>
      <c r="AU72" s="255" t="s">
        <v>13</v>
      </c>
      <c r="AV72" s="83" t="s">
        <v>14</v>
      </c>
      <c r="AW72" s="83" t="s">
        <v>16</v>
      </c>
      <c r="AX72" s="83" t="s">
        <v>17</v>
      </c>
      <c r="AY72" s="83" t="s">
        <v>18</v>
      </c>
      <c r="AZ72" s="83" t="s">
        <v>19</v>
      </c>
      <c r="BA72" s="84" t="s">
        <v>20</v>
      </c>
      <c r="BB72" s="85" t="s">
        <v>22</v>
      </c>
      <c r="BC72" s="59"/>
      <c r="BD72" s="81"/>
    </row>
    <row r="73" ht="13.5" customHeight="1">
      <c r="A73" s="13"/>
      <c r="B73" s="56"/>
      <c r="C73" s="256" t="str">
        <f>C13+C18+C18+C18</f>
        <v>#REF!</v>
      </c>
      <c r="D73" s="93">
        <v>1.0</v>
      </c>
      <c r="E73" s="257">
        <v>0.35</v>
      </c>
      <c r="F73" s="95" t="str">
        <f>H73</f>
        <v>#REF!</v>
      </c>
      <c r="G73" s="95">
        <v>0.0</v>
      </c>
      <c r="H73" s="95" t="str">
        <f>C73-(C73*E73)</f>
        <v>#REF!</v>
      </c>
      <c r="I73" s="118" t="str">
        <f>H73/J73</f>
        <v>#REF!</v>
      </c>
      <c r="J73" s="93">
        <v>591.0</v>
      </c>
      <c r="K73" s="59"/>
      <c r="L73" s="13"/>
      <c r="M73" s="56"/>
      <c r="N73" s="256" t="str">
        <f>C73</f>
        <v>#REF!</v>
      </c>
      <c r="O73" s="93">
        <v>1.0</v>
      </c>
      <c r="P73" s="94" t="str">
        <f>(N73-S73)/N73</f>
        <v>#REF!</v>
      </c>
      <c r="Q73" s="95" t="str">
        <f>S73</f>
        <v>#REF!</v>
      </c>
      <c r="R73" s="95">
        <v>0.0</v>
      </c>
      <c r="S73" s="95" t="str">
        <f t="shared" ref="S73:S75" si="133">H73*0.95</f>
        <v>#REF!</v>
      </c>
      <c r="T73" s="95" t="str">
        <f>S73/U73</f>
        <v>#REF!</v>
      </c>
      <c r="U73" s="93">
        <v>591.0</v>
      </c>
      <c r="V73" s="59"/>
      <c r="W73" s="91"/>
      <c r="X73" s="56"/>
      <c r="Y73" s="256" t="str">
        <f>C73</f>
        <v>#REF!</v>
      </c>
      <c r="Z73" s="93">
        <v>1.0</v>
      </c>
      <c r="AA73" s="94" t="str">
        <f>(Y73-AD73)/Y73</f>
        <v>#REF!</v>
      </c>
      <c r="AB73" s="95" t="str">
        <f>AD73</f>
        <v>#REF!</v>
      </c>
      <c r="AC73" s="95">
        <v>0.0</v>
      </c>
      <c r="AD73" s="95" t="str">
        <f t="shared" ref="AD73:AD75" si="134">H73*0.9</f>
        <v>#REF!</v>
      </c>
      <c r="AE73" s="95" t="str">
        <f>AD73/AF73</f>
        <v>#REF!</v>
      </c>
      <c r="AF73" s="93">
        <v>591.0</v>
      </c>
      <c r="AG73" s="59"/>
      <c r="AH73" s="91"/>
      <c r="AI73" s="56"/>
      <c r="AJ73" s="256" t="str">
        <f>C73</f>
        <v>#REF!</v>
      </c>
      <c r="AK73" s="93">
        <v>1.0</v>
      </c>
      <c r="AL73" s="94" t="str">
        <f>(AJ73-AO73)/AJ73</f>
        <v>#REF!</v>
      </c>
      <c r="AM73" s="95" t="str">
        <f>AO73</f>
        <v>#REF!</v>
      </c>
      <c r="AN73" s="95">
        <v>0.0</v>
      </c>
      <c r="AO73" s="95" t="str">
        <f t="shared" ref="AO73:AO75" si="135">H73*0.85</f>
        <v>#REF!</v>
      </c>
      <c r="AP73" s="118" t="str">
        <f>AO73/AQ73</f>
        <v>#REF!</v>
      </c>
      <c r="AQ73" s="93">
        <v>591.0</v>
      </c>
      <c r="AR73" s="59"/>
      <c r="AS73" s="19"/>
      <c r="AT73" s="56"/>
      <c r="AU73" s="256" t="str">
        <f>C73</f>
        <v>#REF!</v>
      </c>
      <c r="AV73" s="93">
        <v>1.0</v>
      </c>
      <c r="AW73" s="94" t="str">
        <f>(AU73-AZ73)/AU73</f>
        <v>#REF!</v>
      </c>
      <c r="AX73" s="95" t="str">
        <f>AZ73</f>
        <v>#REF!</v>
      </c>
      <c r="AY73" s="95">
        <v>0.0</v>
      </c>
      <c r="AZ73" s="95" t="str">
        <f t="shared" ref="AZ73:AZ75" si="136">H73*0.8</f>
        <v>#REF!</v>
      </c>
      <c r="BA73" s="95" t="str">
        <f>AZ73/BB73</f>
        <v>#REF!</v>
      </c>
      <c r="BB73" s="93">
        <v>591.0</v>
      </c>
      <c r="BC73" s="59"/>
      <c r="BD73" s="91"/>
    </row>
    <row r="74" ht="13.5" customHeight="1">
      <c r="A74" s="13"/>
      <c r="B74" s="56"/>
      <c r="C74" s="130"/>
      <c r="D74" s="93">
        <v>4.0</v>
      </c>
      <c r="E74" s="257">
        <v>0.3</v>
      </c>
      <c r="F74" s="97" t="str">
        <f t="shared" ref="F74:F75" si="137">H74/D74</f>
        <v>#REF!</v>
      </c>
      <c r="G74" s="95" t="str">
        <f t="shared" ref="G74:G75" si="138">(H74-F74)/(D74-1)</f>
        <v>#REF!</v>
      </c>
      <c r="H74" s="95" t="str">
        <f>C73-(C73*E74)</f>
        <v>#REF!</v>
      </c>
      <c r="I74" s="118" t="str">
        <f>H74/J73</f>
        <v>#REF!</v>
      </c>
      <c r="J74" s="99">
        <f>J73/D74</f>
        <v>147.75</v>
      </c>
      <c r="K74" s="59"/>
      <c r="L74" s="13"/>
      <c r="M74" s="56"/>
      <c r="N74" s="130"/>
      <c r="O74" s="93">
        <f t="shared" ref="O74:O75" si="139">D74</f>
        <v>4</v>
      </c>
      <c r="P74" s="94" t="str">
        <f>(N73-S74)/N73</f>
        <v>#REF!</v>
      </c>
      <c r="Q74" s="97" t="str">
        <f t="shared" ref="Q74:Q75" si="140">F74-(F74*5%)</f>
        <v>#REF!</v>
      </c>
      <c r="R74" s="95" t="str">
        <f t="shared" ref="R74:R75" si="141">(S74-Q74)/(O74-1)</f>
        <v>#REF!</v>
      </c>
      <c r="S74" s="95" t="str">
        <f t="shared" si="133"/>
        <v>#REF!</v>
      </c>
      <c r="T74" s="118" t="str">
        <f>S74/U73</f>
        <v>#REF!</v>
      </c>
      <c r="U74" s="99">
        <f>U73/O74</f>
        <v>147.75</v>
      </c>
      <c r="V74" s="59"/>
      <c r="W74" s="91"/>
      <c r="X74" s="56"/>
      <c r="Y74" s="130"/>
      <c r="Z74" s="93">
        <f>D74</f>
        <v>4</v>
      </c>
      <c r="AA74" s="94" t="str">
        <f>(Y73-AD74)/Y73</f>
        <v>#REF!</v>
      </c>
      <c r="AB74" s="97" t="str">
        <f t="shared" ref="AB74:AB75" si="142">F74-(F74*10%)</f>
        <v>#REF!</v>
      </c>
      <c r="AC74" s="95" t="str">
        <f t="shared" ref="AC74:AC75" si="143">(AD74-AB74)/(Z74-1)</f>
        <v>#REF!</v>
      </c>
      <c r="AD74" s="95" t="str">
        <f t="shared" si="134"/>
        <v>#REF!</v>
      </c>
      <c r="AE74" s="118" t="str">
        <f>AD74/AF73</f>
        <v>#REF!</v>
      </c>
      <c r="AF74" s="99">
        <f>AF73/Z74</f>
        <v>147.75</v>
      </c>
      <c r="AG74" s="59"/>
      <c r="AH74" s="91"/>
      <c r="AI74" s="56"/>
      <c r="AJ74" s="130"/>
      <c r="AK74" s="93">
        <f>D74</f>
        <v>4</v>
      </c>
      <c r="AL74" s="94" t="str">
        <f>(AJ73-AO74)/AJ73</f>
        <v>#REF!</v>
      </c>
      <c r="AM74" s="97" t="str">
        <f t="shared" ref="AM74:AM75" si="144">F74-(F74*15%)</f>
        <v>#REF!</v>
      </c>
      <c r="AN74" s="95" t="str">
        <f t="shared" ref="AN74:AN75" si="145">(AO74-AM74)/(AK74-1)</f>
        <v>#REF!</v>
      </c>
      <c r="AO74" s="95" t="str">
        <f t="shared" si="135"/>
        <v>#REF!</v>
      </c>
      <c r="AP74" s="118" t="str">
        <f>AO74/AQ73</f>
        <v>#REF!</v>
      </c>
      <c r="AQ74" s="99">
        <f>AQ73/AK74</f>
        <v>147.75</v>
      </c>
      <c r="AR74" s="59"/>
      <c r="AS74" s="19"/>
      <c r="AT74" s="56"/>
      <c r="AU74" s="130"/>
      <c r="AV74" s="93">
        <f>D74</f>
        <v>4</v>
      </c>
      <c r="AW74" s="94" t="str">
        <f>(AU73-AZ74)/AU73</f>
        <v>#REF!</v>
      </c>
      <c r="AX74" s="97" t="str">
        <f t="shared" ref="AX74:AX75" si="146">F74-(F74*20%)</f>
        <v>#REF!</v>
      </c>
      <c r="AY74" s="95" t="str">
        <f t="shared" ref="AY74:AY75" si="147">(AZ74-AX74)/(AV74-1)</f>
        <v>#REF!</v>
      </c>
      <c r="AZ74" s="95" t="str">
        <f t="shared" si="136"/>
        <v>#REF!</v>
      </c>
      <c r="BA74" s="118" t="str">
        <f>AZ74/BB73</f>
        <v>#REF!</v>
      </c>
      <c r="BB74" s="99">
        <f>BB73/AV74</f>
        <v>147.75</v>
      </c>
      <c r="BC74" s="59"/>
      <c r="BD74" s="91"/>
    </row>
    <row r="75" ht="13.5" customHeight="1">
      <c r="A75" s="13"/>
      <c r="B75" s="56"/>
      <c r="C75" s="96"/>
      <c r="D75" s="93">
        <v>15.0</v>
      </c>
      <c r="E75" s="257">
        <v>0.25</v>
      </c>
      <c r="F75" s="97" t="str">
        <f t="shared" si="137"/>
        <v>#REF!</v>
      </c>
      <c r="G75" s="95" t="str">
        <f t="shared" si="138"/>
        <v>#REF!</v>
      </c>
      <c r="H75" s="95" t="str">
        <f>C73-(C73*E75)</f>
        <v>#REF!</v>
      </c>
      <c r="I75" s="118" t="str">
        <f>H75/J73</f>
        <v>#REF!</v>
      </c>
      <c r="J75" s="99">
        <f>J73/D75</f>
        <v>39.4</v>
      </c>
      <c r="K75" s="59"/>
      <c r="L75" s="13"/>
      <c r="M75" s="56"/>
      <c r="N75" s="96"/>
      <c r="O75" s="93">
        <f t="shared" si="139"/>
        <v>15</v>
      </c>
      <c r="P75" s="94" t="str">
        <f>(N73-S75)/N73</f>
        <v>#REF!</v>
      </c>
      <c r="Q75" s="97" t="str">
        <f t="shared" si="140"/>
        <v>#REF!</v>
      </c>
      <c r="R75" s="95" t="str">
        <f t="shared" si="141"/>
        <v>#REF!</v>
      </c>
      <c r="S75" s="95" t="str">
        <f t="shared" si="133"/>
        <v>#REF!</v>
      </c>
      <c r="T75" s="95" t="str">
        <f>S75/U73</f>
        <v>#REF!</v>
      </c>
      <c r="U75" s="99">
        <f>U73/O75</f>
        <v>39.4</v>
      </c>
      <c r="V75" s="59"/>
      <c r="W75" s="19"/>
      <c r="X75" s="56"/>
      <c r="Y75" s="96"/>
      <c r="Z75" s="93">
        <f>+D75</f>
        <v>15</v>
      </c>
      <c r="AA75" s="94" t="str">
        <f>(Y73-AD75)/Y73</f>
        <v>#REF!</v>
      </c>
      <c r="AB75" s="97" t="str">
        <f t="shared" si="142"/>
        <v>#REF!</v>
      </c>
      <c r="AC75" s="95" t="str">
        <f t="shared" si="143"/>
        <v>#REF!</v>
      </c>
      <c r="AD75" s="95" t="str">
        <f t="shared" si="134"/>
        <v>#REF!</v>
      </c>
      <c r="AE75" s="95" t="str">
        <f>AD75/AF73</f>
        <v>#REF!</v>
      </c>
      <c r="AF75" s="99">
        <f>AF73/Z75</f>
        <v>39.4</v>
      </c>
      <c r="AG75" s="59"/>
      <c r="AH75" s="19"/>
      <c r="AI75" s="56"/>
      <c r="AJ75" s="96"/>
      <c r="AK75" s="93">
        <f>+D75</f>
        <v>15</v>
      </c>
      <c r="AL75" s="257" t="str">
        <f>(AJ73-AO75)/AJ73</f>
        <v>#REF!</v>
      </c>
      <c r="AM75" s="97" t="str">
        <f t="shared" si="144"/>
        <v>#REF!</v>
      </c>
      <c r="AN75" s="95" t="str">
        <f t="shared" si="145"/>
        <v>#REF!</v>
      </c>
      <c r="AO75" s="95" t="str">
        <f t="shared" si="135"/>
        <v>#REF!</v>
      </c>
      <c r="AP75" s="118" t="str">
        <f>AO75/AQ73</f>
        <v>#REF!</v>
      </c>
      <c r="AQ75" s="99">
        <f>AQ73/AK75</f>
        <v>39.4</v>
      </c>
      <c r="AR75" s="59"/>
      <c r="AS75" s="147"/>
      <c r="AT75" s="56"/>
      <c r="AU75" s="96"/>
      <c r="AV75" s="93">
        <f>+D75</f>
        <v>15</v>
      </c>
      <c r="AW75" s="257" t="str">
        <f>(AU73-AZ75)/AU73</f>
        <v>#REF!</v>
      </c>
      <c r="AX75" s="97" t="str">
        <f t="shared" si="146"/>
        <v>#REF!</v>
      </c>
      <c r="AY75" s="95" t="str">
        <f t="shared" si="147"/>
        <v>#REF!</v>
      </c>
      <c r="AZ75" s="95" t="str">
        <f t="shared" si="136"/>
        <v>#REF!</v>
      </c>
      <c r="BA75" s="95" t="str">
        <f>AZ75/BB73</f>
        <v>#REF!</v>
      </c>
      <c r="BB75" s="99">
        <f>BB73/AV75</f>
        <v>39.4</v>
      </c>
      <c r="BC75" s="59"/>
      <c r="BD75" s="19"/>
    </row>
    <row r="76" ht="13.5" customHeight="1">
      <c r="A76" s="13"/>
      <c r="B76" s="56"/>
      <c r="C76" s="13"/>
      <c r="D76" s="13"/>
      <c r="E76" s="13"/>
      <c r="F76" s="13"/>
      <c r="G76" s="13"/>
      <c r="H76" s="13"/>
      <c r="I76" s="19"/>
      <c r="J76" s="13"/>
      <c r="K76" s="59"/>
      <c r="L76" s="13"/>
      <c r="M76" s="56"/>
      <c r="N76" s="13"/>
      <c r="O76" s="13"/>
      <c r="P76" s="13"/>
      <c r="Q76" s="13"/>
      <c r="R76" s="13"/>
      <c r="S76" s="13"/>
      <c r="T76" s="13"/>
      <c r="U76" s="13"/>
      <c r="V76" s="59"/>
      <c r="W76" s="13"/>
      <c r="X76" s="56"/>
      <c r="Y76" s="13"/>
      <c r="Z76" s="13"/>
      <c r="AA76" s="13"/>
      <c r="AB76" s="13"/>
      <c r="AC76" s="13"/>
      <c r="AD76" s="13"/>
      <c r="AE76" s="13"/>
      <c r="AF76" s="13"/>
      <c r="AG76" s="59"/>
      <c r="AH76" s="13"/>
      <c r="AI76" s="56"/>
      <c r="AJ76" s="13"/>
      <c r="AK76" s="13"/>
      <c r="AL76" s="13"/>
      <c r="AM76" s="13"/>
      <c r="AN76" s="13"/>
      <c r="AO76" s="13"/>
      <c r="AP76" s="13"/>
      <c r="AQ76" s="13"/>
      <c r="AR76" s="59"/>
      <c r="AS76" s="13"/>
      <c r="AT76" s="56"/>
      <c r="AU76" s="13"/>
      <c r="AV76" s="13"/>
      <c r="AW76" s="13"/>
      <c r="AX76" s="13"/>
      <c r="AY76" s="13"/>
      <c r="AZ76" s="13"/>
      <c r="BA76" s="13"/>
      <c r="BB76" s="13"/>
      <c r="BC76" s="59"/>
      <c r="BD76" s="13"/>
    </row>
    <row r="77" ht="13.5" customHeight="1">
      <c r="A77" s="13"/>
      <c r="B77" s="56"/>
      <c r="C77" s="13"/>
      <c r="D77" s="13"/>
      <c r="E77" s="13"/>
      <c r="F77" s="13"/>
      <c r="G77" s="13"/>
      <c r="H77" s="13"/>
      <c r="I77" s="19"/>
      <c r="J77" s="13"/>
      <c r="K77" s="59"/>
      <c r="L77" s="13"/>
      <c r="M77" s="56"/>
      <c r="N77" s="13"/>
      <c r="O77" s="13"/>
      <c r="P77" s="13"/>
      <c r="Q77" s="13"/>
      <c r="R77" s="13"/>
      <c r="S77" s="13"/>
      <c r="T77" s="13"/>
      <c r="U77" s="13"/>
      <c r="V77" s="59"/>
      <c r="W77" s="13"/>
      <c r="X77" s="56"/>
      <c r="Y77" s="13"/>
      <c r="Z77" s="13"/>
      <c r="AA77" s="13"/>
      <c r="AB77" s="13"/>
      <c r="AC77" s="13"/>
      <c r="AD77" s="13"/>
      <c r="AE77" s="13"/>
      <c r="AF77" s="13"/>
      <c r="AG77" s="59"/>
      <c r="AH77" s="13"/>
      <c r="AI77" s="56"/>
      <c r="AJ77" s="13"/>
      <c r="AK77" s="13"/>
      <c r="AL77" s="13"/>
      <c r="AM77" s="13"/>
      <c r="AN77" s="13"/>
      <c r="AO77" s="13"/>
      <c r="AP77" s="13"/>
      <c r="AQ77" s="13"/>
      <c r="AR77" s="59"/>
      <c r="AS77" s="13"/>
      <c r="AT77" s="56"/>
      <c r="AU77" s="13"/>
      <c r="AV77" s="13"/>
      <c r="AW77" s="13"/>
      <c r="AX77" s="13"/>
      <c r="AY77" s="13"/>
      <c r="AZ77" s="13"/>
      <c r="BA77" s="13"/>
      <c r="BB77" s="13"/>
      <c r="BC77" s="59"/>
      <c r="BD77" s="13"/>
    </row>
    <row r="78" ht="34.5" customHeight="1">
      <c r="A78" s="13"/>
      <c r="B78" s="56"/>
      <c r="C78" s="77" t="s">
        <v>133</v>
      </c>
      <c r="D78" s="78"/>
      <c r="E78" s="78"/>
      <c r="F78" s="78"/>
      <c r="G78" s="78"/>
      <c r="H78" s="78"/>
      <c r="I78" s="78"/>
      <c r="J78" s="79"/>
      <c r="K78" s="59"/>
      <c r="L78" s="13"/>
      <c r="M78" s="56"/>
      <c r="N78" s="77" t="str">
        <f>C78</f>
        <v>Plan Completo 5 Niveles
 (681 Horas Reloj -  Niveles A1, A2, B1, B2 y C1)</v>
      </c>
      <c r="O78" s="78"/>
      <c r="P78" s="78"/>
      <c r="Q78" s="78"/>
      <c r="R78" s="78"/>
      <c r="S78" s="78"/>
      <c r="T78" s="78"/>
      <c r="U78" s="79"/>
      <c r="V78" s="59"/>
      <c r="W78" s="13"/>
      <c r="X78" s="56"/>
      <c r="Y78" s="77" t="str">
        <f>C78</f>
        <v>Plan Completo 5 Niveles
 (681 Horas Reloj -  Niveles A1, A2, B1, B2 y C1)</v>
      </c>
      <c r="Z78" s="78"/>
      <c r="AA78" s="78"/>
      <c r="AB78" s="78"/>
      <c r="AC78" s="78"/>
      <c r="AD78" s="78"/>
      <c r="AE78" s="78"/>
      <c r="AF78" s="114"/>
      <c r="AG78" s="59"/>
      <c r="AH78" s="13"/>
      <c r="AI78" s="56"/>
      <c r="AJ78" s="77" t="str">
        <f>C78</f>
        <v>Plan Completo 5 Niveles
 (681 Horas Reloj -  Niveles A1, A2, B1, B2 y C1)</v>
      </c>
      <c r="AK78" s="78"/>
      <c r="AL78" s="78"/>
      <c r="AM78" s="78"/>
      <c r="AN78" s="78"/>
      <c r="AO78" s="78"/>
      <c r="AP78" s="78"/>
      <c r="AQ78" s="79"/>
      <c r="AR78" s="59"/>
      <c r="AS78" s="81"/>
      <c r="AT78" s="56"/>
      <c r="AU78" s="77" t="str">
        <f>C78</f>
        <v>Plan Completo 5 Niveles
 (681 Horas Reloj -  Niveles A1, A2, B1, B2 y C1)</v>
      </c>
      <c r="AV78" s="78"/>
      <c r="AW78" s="78"/>
      <c r="AX78" s="78"/>
      <c r="AY78" s="78"/>
      <c r="AZ78" s="78"/>
      <c r="BA78" s="78"/>
      <c r="BB78" s="79"/>
      <c r="BC78" s="59"/>
      <c r="BD78" s="13"/>
    </row>
    <row r="79" ht="13.5" customHeight="1">
      <c r="A79" s="13"/>
      <c r="B79" s="56"/>
      <c r="C79" s="86" t="s">
        <v>13</v>
      </c>
      <c r="D79" s="87" t="s">
        <v>14</v>
      </c>
      <c r="E79" s="87" t="s">
        <v>16</v>
      </c>
      <c r="F79" s="83" t="s">
        <v>17</v>
      </c>
      <c r="G79" s="83" t="s">
        <v>18</v>
      </c>
      <c r="H79" s="87" t="s">
        <v>19</v>
      </c>
      <c r="I79" s="117" t="s">
        <v>20</v>
      </c>
      <c r="J79" s="85" t="s">
        <v>22</v>
      </c>
      <c r="K79" s="59"/>
      <c r="L79" s="13"/>
      <c r="M79" s="56"/>
      <c r="N79" s="86" t="s">
        <v>13</v>
      </c>
      <c r="O79" s="87" t="s">
        <v>14</v>
      </c>
      <c r="P79" s="87" t="s">
        <v>16</v>
      </c>
      <c r="Q79" s="83" t="s">
        <v>17</v>
      </c>
      <c r="R79" s="83" t="s">
        <v>18</v>
      </c>
      <c r="S79" s="87" t="s">
        <v>19</v>
      </c>
      <c r="T79" s="89" t="s">
        <v>20</v>
      </c>
      <c r="U79" s="85" t="s">
        <v>22</v>
      </c>
      <c r="V79" s="59"/>
      <c r="W79" s="81"/>
      <c r="X79" s="56"/>
      <c r="Y79" s="86" t="s">
        <v>13</v>
      </c>
      <c r="Z79" s="87" t="s">
        <v>14</v>
      </c>
      <c r="AA79" s="87" t="s">
        <v>16</v>
      </c>
      <c r="AB79" s="83" t="s">
        <v>17</v>
      </c>
      <c r="AC79" s="83" t="s">
        <v>18</v>
      </c>
      <c r="AD79" s="87" t="s">
        <v>19</v>
      </c>
      <c r="AE79" s="89" t="s">
        <v>20</v>
      </c>
      <c r="AF79" s="85" t="s">
        <v>22</v>
      </c>
      <c r="AG79" s="59"/>
      <c r="AH79" s="81"/>
      <c r="AI79" s="56"/>
      <c r="AJ79" s="86" t="s">
        <v>13</v>
      </c>
      <c r="AK79" s="87" t="s">
        <v>14</v>
      </c>
      <c r="AL79" s="87" t="s">
        <v>16</v>
      </c>
      <c r="AM79" s="83" t="s">
        <v>17</v>
      </c>
      <c r="AN79" s="83" t="s">
        <v>18</v>
      </c>
      <c r="AO79" s="87" t="s">
        <v>19</v>
      </c>
      <c r="AP79" s="117" t="s">
        <v>20</v>
      </c>
      <c r="AQ79" s="85" t="s">
        <v>22</v>
      </c>
      <c r="AR79" s="59"/>
      <c r="AS79" s="91"/>
      <c r="AT79" s="56"/>
      <c r="AU79" s="86" t="s">
        <v>13</v>
      </c>
      <c r="AV79" s="83" t="s">
        <v>14</v>
      </c>
      <c r="AW79" s="83" t="s">
        <v>16</v>
      </c>
      <c r="AX79" s="83" t="s">
        <v>17</v>
      </c>
      <c r="AY79" s="83" t="s">
        <v>18</v>
      </c>
      <c r="AZ79" s="83" t="s">
        <v>19</v>
      </c>
      <c r="BA79" s="84" t="s">
        <v>20</v>
      </c>
      <c r="BB79" s="85" t="s">
        <v>22</v>
      </c>
      <c r="BC79" s="59"/>
      <c r="BD79" s="81"/>
    </row>
    <row r="80" ht="13.5" customHeight="1">
      <c r="A80" s="13"/>
      <c r="B80" s="56"/>
      <c r="C80" s="92" t="str">
        <f>C8+C13+C18+C18+C18</f>
        <v>#REF!</v>
      </c>
      <c r="D80" s="259">
        <v>1.0</v>
      </c>
      <c r="E80" s="257">
        <v>0.42</v>
      </c>
      <c r="F80" s="95" t="str">
        <f>H80</f>
        <v>#REF!</v>
      </c>
      <c r="G80" s="95">
        <v>0.0</v>
      </c>
      <c r="H80" s="95" t="str">
        <f>C80-(C80*E80)</f>
        <v>#REF!</v>
      </c>
      <c r="I80" s="260" t="str">
        <f>H80/J80</f>
        <v>#REF!</v>
      </c>
      <c r="J80" s="259">
        <v>681.0</v>
      </c>
      <c r="K80" s="59"/>
      <c r="L80" s="13"/>
      <c r="M80" s="56"/>
      <c r="N80" s="92" t="str">
        <f>C80</f>
        <v>#REF!</v>
      </c>
      <c r="O80" s="93">
        <v>1.0</v>
      </c>
      <c r="P80" s="94" t="str">
        <f>(N80-S80)/N80</f>
        <v>#REF!</v>
      </c>
      <c r="Q80" s="95" t="str">
        <f>S80</f>
        <v>#REF!</v>
      </c>
      <c r="R80" s="95">
        <v>0.0</v>
      </c>
      <c r="S80" s="95" t="str">
        <f t="shared" ref="S80:S82" si="148">H80*0.95</f>
        <v>#REF!</v>
      </c>
      <c r="T80" s="95" t="str">
        <f>S80/U80</f>
        <v>#REF!</v>
      </c>
      <c r="U80" s="93">
        <v>681.0</v>
      </c>
      <c r="V80" s="59"/>
      <c r="W80" s="91"/>
      <c r="X80" s="56"/>
      <c r="Y80" s="92" t="str">
        <f>C80</f>
        <v>#REF!</v>
      </c>
      <c r="Z80" s="93">
        <v>1.0</v>
      </c>
      <c r="AA80" s="94" t="str">
        <f>(Y80-AD80)/Y80</f>
        <v>#REF!</v>
      </c>
      <c r="AB80" s="95" t="str">
        <f>AD80</f>
        <v>#REF!</v>
      </c>
      <c r="AC80" s="95">
        <v>0.0</v>
      </c>
      <c r="AD80" s="95" t="str">
        <f t="shared" ref="AD80:AD82" si="149">H80*0.9</f>
        <v>#REF!</v>
      </c>
      <c r="AE80" s="95" t="str">
        <f>AD80/AF80</f>
        <v>#REF!</v>
      </c>
      <c r="AF80" s="93">
        <v>681.0</v>
      </c>
      <c r="AG80" s="59"/>
      <c r="AH80" s="91"/>
      <c r="AI80" s="56"/>
      <c r="AJ80" s="92" t="str">
        <f>C80</f>
        <v>#REF!</v>
      </c>
      <c r="AK80" s="93">
        <v>1.0</v>
      </c>
      <c r="AL80" s="94" t="str">
        <f>(AJ80-AO80)/AJ80</f>
        <v>#REF!</v>
      </c>
      <c r="AM80" s="95" t="str">
        <f>AO80</f>
        <v>#REF!</v>
      </c>
      <c r="AN80" s="95">
        <v>0.0</v>
      </c>
      <c r="AO80" s="95" t="str">
        <f t="shared" ref="AO80:AO82" si="150">H80*0.85</f>
        <v>#REF!</v>
      </c>
      <c r="AP80" s="118" t="str">
        <f>AO80/AQ80</f>
        <v>#REF!</v>
      </c>
      <c r="AQ80" s="93">
        <v>681.0</v>
      </c>
      <c r="AR80" s="59"/>
      <c r="AS80" s="19"/>
      <c r="AT80" s="56"/>
      <c r="AU80" s="92" t="str">
        <f>C80</f>
        <v>#REF!</v>
      </c>
      <c r="AV80" s="93">
        <v>1.0</v>
      </c>
      <c r="AW80" s="94" t="str">
        <f>(AU80-AZ80)/AU80</f>
        <v>#REF!</v>
      </c>
      <c r="AX80" s="95" t="str">
        <f>AZ80</f>
        <v>#REF!</v>
      </c>
      <c r="AY80" s="95">
        <v>0.0</v>
      </c>
      <c r="AZ80" s="95" t="str">
        <f t="shared" ref="AZ80:AZ82" si="151">H80*0.8</f>
        <v>#REF!</v>
      </c>
      <c r="BA80" s="95" t="str">
        <f>AZ80/BB80</f>
        <v>#REF!</v>
      </c>
      <c r="BB80" s="93">
        <v>906.0</v>
      </c>
      <c r="BC80" s="59"/>
      <c r="BD80" s="91"/>
    </row>
    <row r="81" ht="13.5" customHeight="1">
      <c r="A81" s="13"/>
      <c r="B81" s="56"/>
      <c r="C81" s="130"/>
      <c r="D81" s="93">
        <v>5.0</v>
      </c>
      <c r="E81" s="257">
        <v>0.35</v>
      </c>
      <c r="F81" s="97" t="str">
        <f t="shared" ref="F81:F82" si="152">H81/D81</f>
        <v>#REF!</v>
      </c>
      <c r="G81" s="95" t="str">
        <f t="shared" ref="G81:G82" si="153">(H81-F81)/(D81-1)</f>
        <v>#REF!</v>
      </c>
      <c r="H81" s="95" t="str">
        <f>C80-(C80*E81)</f>
        <v>#REF!</v>
      </c>
      <c r="I81" s="118" t="str">
        <f>H81/J80</f>
        <v>#REF!</v>
      </c>
      <c r="J81" s="99">
        <f>J80/D81</f>
        <v>136.2</v>
      </c>
      <c r="K81" s="59"/>
      <c r="L81" s="13"/>
      <c r="M81" s="56"/>
      <c r="N81" s="130"/>
      <c r="O81" s="93">
        <f t="shared" ref="O81:O82" si="154">D81</f>
        <v>5</v>
      </c>
      <c r="P81" s="94" t="str">
        <f>(N80-S81)/N80</f>
        <v>#REF!</v>
      </c>
      <c r="Q81" s="97" t="str">
        <f t="shared" ref="Q81:Q82" si="155">F81-(F81*5%)</f>
        <v>#REF!</v>
      </c>
      <c r="R81" s="95" t="str">
        <f t="shared" ref="R81:R82" si="156">(S81-Q81)/(O81-1)</f>
        <v>#REF!</v>
      </c>
      <c r="S81" s="95" t="str">
        <f t="shared" si="148"/>
        <v>#REF!</v>
      </c>
      <c r="T81" s="118" t="str">
        <f>S81/U80</f>
        <v>#REF!</v>
      </c>
      <c r="U81" s="99">
        <f>U80/O81</f>
        <v>136.2</v>
      </c>
      <c r="V81" s="59"/>
      <c r="W81" s="91"/>
      <c r="X81" s="56"/>
      <c r="Y81" s="130"/>
      <c r="Z81" s="93">
        <f t="shared" ref="Z81:Z82" si="157">D81</f>
        <v>5</v>
      </c>
      <c r="AA81" s="94" t="str">
        <f>(Y80-AD81)/Y80</f>
        <v>#REF!</v>
      </c>
      <c r="AB81" s="97" t="str">
        <f t="shared" ref="AB81:AB82" si="158">F81-(F81*10%)</f>
        <v>#REF!</v>
      </c>
      <c r="AC81" s="95" t="str">
        <f t="shared" ref="AC81:AC82" si="159">(AD81-AB81)/(Z81-1)</f>
        <v>#REF!</v>
      </c>
      <c r="AD81" s="95" t="str">
        <f t="shared" si="149"/>
        <v>#REF!</v>
      </c>
      <c r="AE81" s="118" t="str">
        <f>AD81/AF80</f>
        <v>#REF!</v>
      </c>
      <c r="AF81" s="99">
        <f>AF80/Z81</f>
        <v>136.2</v>
      </c>
      <c r="AG81" s="59"/>
      <c r="AH81" s="91"/>
      <c r="AI81" s="56"/>
      <c r="AJ81" s="130"/>
      <c r="AK81" s="93">
        <f>Z81</f>
        <v>5</v>
      </c>
      <c r="AL81" s="94" t="str">
        <f>(AJ80-AO81)/AJ80</f>
        <v>#REF!</v>
      </c>
      <c r="AM81" s="97" t="str">
        <f t="shared" ref="AM81:AM82" si="160">F81-(F81*15%)</f>
        <v>#REF!</v>
      </c>
      <c r="AN81" s="95" t="str">
        <f t="shared" ref="AN81:AN82" si="161">(AO81-AM81)/(AK81-1)</f>
        <v>#REF!</v>
      </c>
      <c r="AO81" s="95" t="str">
        <f t="shared" si="150"/>
        <v>#REF!</v>
      </c>
      <c r="AP81" s="118" t="str">
        <f>AO81/AQ80</f>
        <v>#REF!</v>
      </c>
      <c r="AQ81" s="99">
        <f>AQ80/AK81</f>
        <v>136.2</v>
      </c>
      <c r="AR81" s="59"/>
      <c r="AS81" s="19"/>
      <c r="AT81" s="56"/>
      <c r="AU81" s="130"/>
      <c r="AV81" s="93">
        <f>AK81</f>
        <v>5</v>
      </c>
      <c r="AW81" s="94" t="str">
        <f>(AU80-AZ81)/AU80</f>
        <v>#REF!</v>
      </c>
      <c r="AX81" s="97" t="str">
        <f t="shared" ref="AX81:AX82" si="162">F81-(F81*20%)</f>
        <v>#REF!</v>
      </c>
      <c r="AY81" s="95" t="str">
        <f t="shared" ref="AY81:AY82" si="163">(AZ81-AX81)/(AV81-1)</f>
        <v>#REF!</v>
      </c>
      <c r="AZ81" s="95" t="str">
        <f t="shared" si="151"/>
        <v>#REF!</v>
      </c>
      <c r="BA81" s="118" t="str">
        <f>AZ81/BB80</f>
        <v>#REF!</v>
      </c>
      <c r="BB81" s="99">
        <f>BB80/AV81</f>
        <v>181.2</v>
      </c>
      <c r="BC81" s="59"/>
      <c r="BD81" s="91"/>
    </row>
    <row r="82" ht="13.5" customHeight="1">
      <c r="A82" s="13"/>
      <c r="B82" s="56"/>
      <c r="C82" s="96"/>
      <c r="D82" s="259">
        <v>20.0</v>
      </c>
      <c r="E82" s="257">
        <v>0.3</v>
      </c>
      <c r="F82" s="97" t="str">
        <f t="shared" si="152"/>
        <v>#REF!</v>
      </c>
      <c r="G82" s="95" t="str">
        <f t="shared" si="153"/>
        <v>#REF!</v>
      </c>
      <c r="H82" s="95" t="str">
        <f>C80-(C80*E82)</f>
        <v>#REF!</v>
      </c>
      <c r="I82" s="260" t="str">
        <f>H82/J80</f>
        <v>#REF!</v>
      </c>
      <c r="J82" s="261">
        <f>J80/D82</f>
        <v>34.05</v>
      </c>
      <c r="K82" s="59"/>
      <c r="L82" s="13"/>
      <c r="M82" s="56"/>
      <c r="N82" s="96"/>
      <c r="O82" s="93">
        <f t="shared" si="154"/>
        <v>20</v>
      </c>
      <c r="P82" s="94" t="str">
        <f>(N80-S82)/N80</f>
        <v>#REF!</v>
      </c>
      <c r="Q82" s="97" t="str">
        <f t="shared" si="155"/>
        <v>#REF!</v>
      </c>
      <c r="R82" s="95" t="str">
        <f t="shared" si="156"/>
        <v>#REF!</v>
      </c>
      <c r="S82" s="95" t="str">
        <f t="shared" si="148"/>
        <v>#REF!</v>
      </c>
      <c r="T82" s="95" t="str">
        <f>S82/U80</f>
        <v>#REF!</v>
      </c>
      <c r="U82" s="99">
        <f>U80/O82</f>
        <v>34.05</v>
      </c>
      <c r="V82" s="59"/>
      <c r="W82" s="19"/>
      <c r="X82" s="56"/>
      <c r="Y82" s="96"/>
      <c r="Z82" s="93">
        <f t="shared" si="157"/>
        <v>20</v>
      </c>
      <c r="AA82" s="94" t="str">
        <f>(Y80-AD82)/Y80</f>
        <v>#REF!</v>
      </c>
      <c r="AB82" s="97" t="str">
        <f t="shared" si="158"/>
        <v>#REF!</v>
      </c>
      <c r="AC82" s="95" t="str">
        <f t="shared" si="159"/>
        <v>#REF!</v>
      </c>
      <c r="AD82" s="95" t="str">
        <f t="shared" si="149"/>
        <v>#REF!</v>
      </c>
      <c r="AE82" s="95" t="str">
        <f>AD82/AF80</f>
        <v>#REF!</v>
      </c>
      <c r="AF82" s="99">
        <f>AF80/Z82</f>
        <v>34.05</v>
      </c>
      <c r="AG82" s="59"/>
      <c r="AH82" s="19"/>
      <c r="AI82" s="56"/>
      <c r="AJ82" s="96"/>
      <c r="AK82" s="93">
        <f>+D82</f>
        <v>20</v>
      </c>
      <c r="AL82" s="257" t="str">
        <f>(AJ80-AO82)/AJ80</f>
        <v>#REF!</v>
      </c>
      <c r="AM82" s="97" t="str">
        <f t="shared" si="160"/>
        <v>#REF!</v>
      </c>
      <c r="AN82" s="95" t="str">
        <f t="shared" si="161"/>
        <v>#REF!</v>
      </c>
      <c r="AO82" s="95" t="str">
        <f t="shared" si="150"/>
        <v>#REF!</v>
      </c>
      <c r="AP82" s="118" t="str">
        <f>AO82/AQ80</f>
        <v>#REF!</v>
      </c>
      <c r="AQ82" s="99">
        <f>AQ80/AK82</f>
        <v>34.05</v>
      </c>
      <c r="AR82" s="59"/>
      <c r="AS82" s="147"/>
      <c r="AT82" s="56"/>
      <c r="AU82" s="96"/>
      <c r="AV82" s="93">
        <f>+D82</f>
        <v>20</v>
      </c>
      <c r="AW82" s="257" t="str">
        <f>(AU80-AZ82)/AU80</f>
        <v>#REF!</v>
      </c>
      <c r="AX82" s="97" t="str">
        <f t="shared" si="162"/>
        <v>#REF!</v>
      </c>
      <c r="AY82" s="95" t="str">
        <f t="shared" si="163"/>
        <v>#REF!</v>
      </c>
      <c r="AZ82" s="95" t="str">
        <f t="shared" si="151"/>
        <v>#REF!</v>
      </c>
      <c r="BA82" s="95" t="str">
        <f>AZ82/BB80</f>
        <v>#REF!</v>
      </c>
      <c r="BB82" s="99">
        <f>BB80/AV82</f>
        <v>45.3</v>
      </c>
      <c r="BC82" s="59"/>
      <c r="BD82" s="19"/>
    </row>
    <row r="83" ht="13.5" customHeight="1">
      <c r="A83" s="13"/>
      <c r="B83" s="262"/>
      <c r="C83" s="263"/>
      <c r="D83" s="263"/>
      <c r="E83" s="263"/>
      <c r="F83" s="263"/>
      <c r="G83" s="263"/>
      <c r="H83" s="263"/>
      <c r="I83" s="264"/>
      <c r="J83" s="263"/>
      <c r="K83" s="265"/>
      <c r="L83" s="13"/>
      <c r="M83" s="262"/>
      <c r="N83" s="263"/>
      <c r="O83" s="263"/>
      <c r="P83" s="263"/>
      <c r="Q83" s="263"/>
      <c r="R83" s="263"/>
      <c r="S83" s="263"/>
      <c r="T83" s="263"/>
      <c r="U83" s="263"/>
      <c r="V83" s="265"/>
      <c r="W83" s="147"/>
      <c r="X83" s="262"/>
      <c r="Y83" s="263"/>
      <c r="Z83" s="263"/>
      <c r="AA83" s="263"/>
      <c r="AB83" s="263"/>
      <c r="AC83" s="263"/>
      <c r="AD83" s="263"/>
      <c r="AE83" s="263"/>
      <c r="AF83" s="263"/>
      <c r="AG83" s="265"/>
      <c r="AH83" s="147"/>
      <c r="AI83" s="262"/>
      <c r="AJ83" s="263"/>
      <c r="AK83" s="263"/>
      <c r="AL83" s="263"/>
      <c r="AM83" s="263"/>
      <c r="AN83" s="263"/>
      <c r="AO83" s="263"/>
      <c r="AP83" s="263"/>
      <c r="AQ83" s="263"/>
      <c r="AR83" s="265"/>
      <c r="AS83" s="13"/>
      <c r="AT83" s="262"/>
      <c r="AU83" s="263"/>
      <c r="AV83" s="263"/>
      <c r="AW83" s="263"/>
      <c r="AX83" s="263"/>
      <c r="AY83" s="263"/>
      <c r="AZ83" s="263"/>
      <c r="BA83" s="263"/>
      <c r="BB83" s="263"/>
      <c r="BC83" s="265"/>
      <c r="BD83" s="147"/>
    </row>
    <row r="84" ht="13.5" customHeight="1">
      <c r="A84" s="13"/>
      <c r="B84" s="13"/>
      <c r="C84" s="26"/>
      <c r="D84" s="268"/>
      <c r="E84" s="268"/>
      <c r="F84" s="268"/>
      <c r="G84" s="268"/>
      <c r="H84" s="268"/>
      <c r="I84" s="269"/>
      <c r="J84" s="26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26"/>
      <c r="AK84" s="26"/>
      <c r="AL84" s="26"/>
      <c r="AM84" s="26"/>
      <c r="AN84" s="26"/>
      <c r="AO84" s="26"/>
      <c r="AP84" s="26"/>
      <c r="AQ84" s="26"/>
      <c r="AR84" s="26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</row>
    <row r="85" ht="13.5" customHeight="1">
      <c r="A85" s="26"/>
      <c r="B85" s="26"/>
      <c r="C85" s="26"/>
      <c r="D85" s="26"/>
      <c r="E85" s="26"/>
      <c r="F85" s="26"/>
      <c r="G85" s="26"/>
      <c r="H85" s="26"/>
      <c r="I85" s="270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</row>
    <row r="86" ht="13.5" customHeight="1">
      <c r="A86" s="26"/>
      <c r="B86" s="26"/>
      <c r="C86" s="26"/>
      <c r="D86" s="26"/>
      <c r="E86" s="26"/>
      <c r="F86" s="26"/>
      <c r="G86" s="26"/>
      <c r="H86" s="26"/>
      <c r="I86" s="270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</row>
    <row r="87" ht="13.5" customHeight="1">
      <c r="A87" s="26"/>
      <c r="B87" s="26"/>
      <c r="C87" s="26"/>
      <c r="D87" s="26"/>
      <c r="E87" s="26"/>
      <c r="F87" s="26"/>
      <c r="G87" s="26"/>
      <c r="H87" s="26"/>
      <c r="I87" s="270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</row>
    <row r="88" ht="13.5" customHeight="1">
      <c r="A88" s="26"/>
      <c r="B88" s="26"/>
      <c r="C88" s="26"/>
      <c r="D88" s="26"/>
      <c r="E88" s="26"/>
      <c r="F88" s="26"/>
      <c r="G88" s="26"/>
      <c r="H88" s="26"/>
      <c r="I88" s="270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</row>
    <row r="89" ht="13.5" customHeight="1">
      <c r="A89" s="26"/>
      <c r="B89" s="26"/>
      <c r="C89" s="26"/>
      <c r="D89" s="26"/>
      <c r="E89" s="26"/>
      <c r="F89" s="26"/>
      <c r="G89" s="26"/>
      <c r="H89" s="26"/>
      <c r="I89" s="270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</row>
    <row r="90" ht="13.5" customHeight="1">
      <c r="A90" s="26"/>
      <c r="B90" s="26"/>
      <c r="C90" s="26"/>
      <c r="D90" s="26"/>
      <c r="E90" s="26"/>
      <c r="F90" s="26"/>
      <c r="G90" s="26"/>
      <c r="H90" s="26"/>
      <c r="I90" s="270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71"/>
      <c r="AW90" s="26"/>
      <c r="AX90" s="272"/>
      <c r="AY90" s="26"/>
      <c r="AZ90" s="26"/>
      <c r="BA90" s="26"/>
      <c r="BB90" s="26"/>
      <c r="BC90" s="26"/>
      <c r="BD90" s="26"/>
    </row>
    <row r="91" ht="13.5" customHeight="1">
      <c r="A91" s="26"/>
      <c r="B91" s="26"/>
      <c r="C91" s="26"/>
      <c r="D91" s="26"/>
      <c r="E91" s="26"/>
      <c r="F91" s="26"/>
      <c r="G91" s="26"/>
      <c r="H91" s="26"/>
      <c r="I91" s="270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71"/>
      <c r="AW91" s="26"/>
      <c r="AX91" s="272"/>
      <c r="AY91" s="26"/>
      <c r="AZ91" s="26"/>
      <c r="BA91" s="26"/>
      <c r="BB91" s="26"/>
      <c r="BC91" s="26"/>
      <c r="BD91" s="26"/>
    </row>
    <row r="92" ht="13.5" customHeight="1">
      <c r="A92" s="26"/>
      <c r="B92" s="26"/>
      <c r="C92" s="26"/>
      <c r="D92" s="26"/>
      <c r="E92" s="26"/>
      <c r="F92" s="26"/>
      <c r="G92" s="26"/>
      <c r="H92" s="26"/>
      <c r="I92" s="270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71"/>
      <c r="AW92" s="26"/>
      <c r="AX92" s="272"/>
      <c r="AY92" s="26"/>
      <c r="AZ92" s="26"/>
      <c r="BA92" s="26"/>
      <c r="BB92" s="26"/>
      <c r="BC92" s="26"/>
      <c r="BD92" s="26"/>
    </row>
    <row r="93" ht="13.5" customHeight="1">
      <c r="A93" s="26"/>
      <c r="B93" s="26"/>
      <c r="C93" s="26"/>
      <c r="D93" s="26"/>
      <c r="E93" s="26"/>
      <c r="F93" s="26"/>
      <c r="G93" s="26"/>
      <c r="H93" s="26"/>
      <c r="I93" s="270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71"/>
      <c r="AW93" s="26"/>
      <c r="AX93" s="272"/>
      <c r="AY93" s="26"/>
      <c r="AZ93" s="26"/>
      <c r="BA93" s="26"/>
      <c r="BB93" s="26"/>
      <c r="BC93" s="26"/>
      <c r="BD93" s="26"/>
    </row>
    <row r="94" ht="13.5" customHeight="1">
      <c r="A94" s="26"/>
      <c r="B94" s="26"/>
      <c r="C94" s="26"/>
      <c r="D94" s="26"/>
      <c r="E94" s="26"/>
      <c r="F94" s="26"/>
      <c r="G94" s="26"/>
      <c r="H94" s="26"/>
      <c r="I94" s="270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</row>
    <row r="95" ht="13.5" customHeight="1">
      <c r="A95" s="26"/>
      <c r="B95" s="26"/>
      <c r="C95" s="26"/>
      <c r="D95" s="26"/>
      <c r="E95" s="26"/>
      <c r="F95" s="26"/>
      <c r="G95" s="26"/>
      <c r="H95" s="26"/>
      <c r="I95" s="270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</row>
    <row r="96" ht="13.5" customHeight="1">
      <c r="A96" s="26"/>
      <c r="B96" s="26"/>
      <c r="C96" s="26"/>
      <c r="D96" s="26"/>
      <c r="E96" s="26"/>
      <c r="F96" s="26"/>
      <c r="G96" s="26"/>
      <c r="H96" s="26"/>
      <c r="I96" s="270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</row>
    <row r="97" ht="13.5" customHeight="1">
      <c r="A97" s="26"/>
      <c r="B97" s="26"/>
      <c r="C97" s="26"/>
      <c r="D97" s="26"/>
      <c r="E97" s="26"/>
      <c r="F97" s="26"/>
      <c r="G97" s="26"/>
      <c r="H97" s="26"/>
      <c r="I97" s="270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</row>
    <row r="98" ht="13.5" customHeight="1">
      <c r="A98" s="26"/>
      <c r="B98" s="26"/>
      <c r="C98" s="26"/>
      <c r="D98" s="26"/>
      <c r="E98" s="26"/>
      <c r="F98" s="26"/>
      <c r="G98" s="26"/>
      <c r="H98" s="26"/>
      <c r="I98" s="270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</row>
    <row r="99" ht="13.5" customHeight="1">
      <c r="A99" s="26"/>
      <c r="B99" s="26"/>
      <c r="C99" s="26"/>
      <c r="D99" s="26"/>
      <c r="E99" s="26"/>
      <c r="F99" s="26"/>
      <c r="G99" s="26"/>
      <c r="H99" s="26"/>
      <c r="I99" s="270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</row>
    <row r="100" ht="13.5" customHeight="1">
      <c r="A100" s="26"/>
      <c r="B100" s="26"/>
      <c r="C100" s="26"/>
      <c r="D100" s="26"/>
      <c r="E100" s="26"/>
      <c r="F100" s="26"/>
      <c r="G100" s="26"/>
      <c r="H100" s="26"/>
      <c r="I100" s="270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</row>
    <row r="101" ht="13.5" customHeight="1">
      <c r="A101" s="26"/>
      <c r="B101" s="26"/>
      <c r="C101" s="26"/>
      <c r="D101" s="26"/>
      <c r="E101" s="26"/>
      <c r="F101" s="26"/>
      <c r="G101" s="26"/>
      <c r="H101" s="26"/>
      <c r="I101" s="270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</row>
    <row r="102" ht="13.5" customHeight="1">
      <c r="A102" s="26"/>
      <c r="B102" s="26"/>
      <c r="C102" s="26"/>
      <c r="D102" s="26"/>
      <c r="E102" s="26"/>
      <c r="F102" s="26"/>
      <c r="G102" s="26"/>
      <c r="H102" s="26"/>
      <c r="I102" s="270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</row>
    <row r="103" ht="13.5" customHeight="1">
      <c r="A103" s="26"/>
      <c r="B103" s="26"/>
      <c r="C103" s="26"/>
      <c r="D103" s="26"/>
      <c r="E103" s="26"/>
      <c r="F103" s="26"/>
      <c r="G103" s="26"/>
      <c r="H103" s="26"/>
      <c r="I103" s="270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</row>
    <row r="104" ht="13.5" customHeight="1">
      <c r="A104" s="26"/>
      <c r="B104" s="26"/>
      <c r="C104" s="26"/>
      <c r="D104" s="26"/>
      <c r="E104" s="26"/>
      <c r="F104" s="26"/>
      <c r="G104" s="26"/>
      <c r="H104" s="26"/>
      <c r="I104" s="270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</row>
    <row r="105" ht="13.5" customHeight="1">
      <c r="A105" s="26"/>
      <c r="B105" s="26"/>
      <c r="C105" s="26"/>
      <c r="D105" s="26"/>
      <c r="E105" s="26"/>
      <c r="F105" s="26"/>
      <c r="G105" s="26"/>
      <c r="H105" s="26"/>
      <c r="I105" s="270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</row>
    <row r="106" ht="13.5" customHeight="1">
      <c r="A106" s="26"/>
      <c r="B106" s="26"/>
      <c r="C106" s="26"/>
      <c r="D106" s="26"/>
      <c r="E106" s="26"/>
      <c r="F106" s="26"/>
      <c r="G106" s="26"/>
      <c r="H106" s="26"/>
      <c r="I106" s="270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</row>
    <row r="107" ht="13.5" customHeight="1">
      <c r="A107" s="26"/>
      <c r="B107" s="26"/>
      <c r="C107" s="26"/>
      <c r="D107" s="26"/>
      <c r="E107" s="26"/>
      <c r="F107" s="26"/>
      <c r="G107" s="26"/>
      <c r="H107" s="26"/>
      <c r="I107" s="270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</row>
    <row r="108" ht="13.5" customHeight="1">
      <c r="A108" s="26"/>
      <c r="B108" s="26"/>
      <c r="C108" s="26"/>
      <c r="D108" s="26"/>
      <c r="E108" s="26"/>
      <c r="F108" s="26"/>
      <c r="G108" s="26"/>
      <c r="H108" s="26"/>
      <c r="I108" s="270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</row>
    <row r="109" ht="13.5" customHeight="1">
      <c r="A109" s="26"/>
      <c r="B109" s="26"/>
      <c r="C109" s="26"/>
      <c r="D109" s="26"/>
      <c r="E109" s="26"/>
      <c r="F109" s="26"/>
      <c r="G109" s="26"/>
      <c r="H109" s="26"/>
      <c r="I109" s="270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</row>
    <row r="110" ht="13.5" customHeight="1">
      <c r="A110" s="26"/>
      <c r="B110" s="26"/>
      <c r="C110" s="26"/>
      <c r="D110" s="26"/>
      <c r="E110" s="26"/>
      <c r="F110" s="26"/>
      <c r="G110" s="26"/>
      <c r="H110" s="26"/>
      <c r="I110" s="270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</row>
    <row r="111" ht="13.5" customHeight="1">
      <c r="A111" s="26"/>
      <c r="B111" s="26"/>
      <c r="C111" s="26"/>
      <c r="D111" s="26"/>
      <c r="E111" s="26"/>
      <c r="F111" s="26"/>
      <c r="G111" s="26"/>
      <c r="H111" s="26"/>
      <c r="I111" s="270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</row>
    <row r="112" ht="13.5" customHeight="1">
      <c r="A112" s="26"/>
      <c r="B112" s="26"/>
      <c r="C112" s="26"/>
      <c r="D112" s="26"/>
      <c r="E112" s="26"/>
      <c r="F112" s="26"/>
      <c r="G112" s="26"/>
      <c r="H112" s="26"/>
      <c r="I112" s="270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</row>
    <row r="113" ht="13.5" customHeight="1">
      <c r="A113" s="26"/>
      <c r="B113" s="26"/>
      <c r="C113" s="26"/>
      <c r="D113" s="26"/>
      <c r="E113" s="26"/>
      <c r="F113" s="26"/>
      <c r="G113" s="26"/>
      <c r="H113" s="26"/>
      <c r="I113" s="270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</row>
    <row r="114" ht="13.5" customHeight="1">
      <c r="A114" s="26"/>
      <c r="B114" s="26"/>
      <c r="C114" s="26"/>
      <c r="D114" s="26"/>
      <c r="E114" s="26"/>
      <c r="F114" s="26"/>
      <c r="G114" s="26"/>
      <c r="H114" s="26"/>
      <c r="I114" s="270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</row>
    <row r="115" ht="13.5" customHeight="1">
      <c r="A115" s="26"/>
      <c r="B115" s="26"/>
      <c r="C115" s="26"/>
      <c r="D115" s="26"/>
      <c r="E115" s="26"/>
      <c r="F115" s="26"/>
      <c r="G115" s="26"/>
      <c r="H115" s="26"/>
      <c r="I115" s="270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</row>
    <row r="116" ht="13.5" customHeight="1">
      <c r="A116" s="26"/>
      <c r="B116" s="26"/>
      <c r="C116" s="26"/>
      <c r="D116" s="26"/>
      <c r="E116" s="26"/>
      <c r="F116" s="26"/>
      <c r="G116" s="26"/>
      <c r="H116" s="26"/>
      <c r="I116" s="270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</row>
    <row r="117" ht="13.5" customHeight="1">
      <c r="A117" s="26"/>
      <c r="B117" s="26"/>
      <c r="C117" s="26"/>
      <c r="D117" s="26"/>
      <c r="E117" s="26"/>
      <c r="F117" s="26"/>
      <c r="G117" s="26"/>
      <c r="H117" s="26"/>
      <c r="I117" s="270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</row>
    <row r="118" ht="13.5" customHeight="1">
      <c r="A118" s="26"/>
      <c r="B118" s="26"/>
      <c r="C118" s="26"/>
      <c r="D118" s="26"/>
      <c r="E118" s="26"/>
      <c r="F118" s="26"/>
      <c r="G118" s="26"/>
      <c r="H118" s="26"/>
      <c r="I118" s="270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</row>
    <row r="119" ht="13.5" customHeight="1">
      <c r="A119" s="26"/>
      <c r="B119" s="26"/>
      <c r="C119" s="26"/>
      <c r="D119" s="26"/>
      <c r="E119" s="26"/>
      <c r="F119" s="26"/>
      <c r="G119" s="26"/>
      <c r="H119" s="26"/>
      <c r="I119" s="270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70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70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70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70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70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70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70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70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70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70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70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70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70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70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70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70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70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70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70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70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70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70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70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70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70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70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70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70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70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70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70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70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70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70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70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70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70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70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70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70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70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70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70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70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70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70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70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70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70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70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70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70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70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70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70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70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70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70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70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70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70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70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70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70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70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70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70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70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70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70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70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70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70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70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70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70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70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70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70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70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70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70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70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70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70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70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70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70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70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70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70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70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70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70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70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70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70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70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70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70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70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</row>
    <row r="221" ht="13.5" customHeight="1">
      <c r="A221" s="26"/>
      <c r="B221" s="26"/>
      <c r="C221" s="26"/>
      <c r="D221" s="26"/>
      <c r="E221" s="26"/>
      <c r="F221" s="26"/>
      <c r="G221" s="26"/>
      <c r="H221" s="26"/>
      <c r="I221" s="270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</row>
    <row r="222" ht="13.5" customHeight="1">
      <c r="A222" s="26"/>
      <c r="B222" s="26"/>
      <c r="C222" s="26"/>
      <c r="D222" s="26"/>
      <c r="E222" s="26"/>
      <c r="F222" s="26"/>
      <c r="G222" s="26"/>
      <c r="H222" s="26"/>
      <c r="I222" s="270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</row>
    <row r="223" ht="13.5" customHeight="1">
      <c r="A223" s="26"/>
      <c r="B223" s="26"/>
      <c r="C223" s="26"/>
      <c r="D223" s="26"/>
      <c r="E223" s="26"/>
      <c r="F223" s="26"/>
      <c r="G223" s="26"/>
      <c r="H223" s="26"/>
      <c r="I223" s="270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</row>
    <row r="224" ht="13.5" customHeight="1">
      <c r="A224" s="26"/>
      <c r="B224" s="26"/>
      <c r="C224" s="26"/>
      <c r="D224" s="26"/>
      <c r="E224" s="26"/>
      <c r="F224" s="26"/>
      <c r="G224" s="26"/>
      <c r="H224" s="26"/>
      <c r="I224" s="270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</row>
    <row r="225" ht="13.5" customHeight="1">
      <c r="A225" s="26"/>
      <c r="B225" s="26"/>
      <c r="C225" s="26"/>
      <c r="D225" s="26"/>
      <c r="E225" s="26"/>
      <c r="F225" s="26"/>
      <c r="G225" s="26"/>
      <c r="H225" s="26"/>
      <c r="I225" s="270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</row>
    <row r="226" ht="13.5" customHeight="1">
      <c r="A226" s="26"/>
      <c r="B226" s="26"/>
      <c r="C226" s="26"/>
      <c r="D226" s="26"/>
      <c r="E226" s="26"/>
      <c r="F226" s="26"/>
      <c r="G226" s="26"/>
      <c r="H226" s="26"/>
      <c r="I226" s="270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</row>
    <row r="227" ht="13.5" customHeight="1">
      <c r="A227" s="26"/>
      <c r="B227" s="26"/>
      <c r="C227" s="26"/>
      <c r="D227" s="26"/>
      <c r="E227" s="26"/>
      <c r="F227" s="26"/>
      <c r="G227" s="26"/>
      <c r="H227" s="26"/>
      <c r="I227" s="270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</row>
    <row r="228" ht="13.5" customHeight="1">
      <c r="A228" s="26"/>
      <c r="B228" s="26"/>
      <c r="C228" s="26"/>
      <c r="D228" s="26"/>
      <c r="E228" s="26"/>
      <c r="F228" s="26"/>
      <c r="G228" s="26"/>
      <c r="H228" s="26"/>
      <c r="I228" s="270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</row>
    <row r="229" ht="13.5" customHeight="1">
      <c r="A229" s="26"/>
      <c r="B229" s="26"/>
      <c r="C229" s="26"/>
      <c r="D229" s="26"/>
      <c r="E229" s="26"/>
      <c r="F229" s="26"/>
      <c r="G229" s="26"/>
      <c r="H229" s="26"/>
      <c r="I229" s="270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</row>
    <row r="230" ht="13.5" customHeight="1">
      <c r="A230" s="26"/>
      <c r="B230" s="26"/>
      <c r="C230" s="26"/>
      <c r="D230" s="26"/>
      <c r="E230" s="26"/>
      <c r="F230" s="26"/>
      <c r="G230" s="26"/>
      <c r="H230" s="26"/>
      <c r="I230" s="270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</row>
    <row r="231" ht="13.5" customHeight="1">
      <c r="A231" s="26"/>
      <c r="B231" s="26"/>
      <c r="C231" s="26"/>
      <c r="D231" s="26"/>
      <c r="E231" s="26"/>
      <c r="F231" s="26"/>
      <c r="G231" s="26"/>
      <c r="H231" s="26"/>
      <c r="I231" s="270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</row>
    <row r="232" ht="13.5" customHeight="1">
      <c r="A232" s="26"/>
      <c r="B232" s="26"/>
      <c r="C232" s="26"/>
      <c r="D232" s="26"/>
      <c r="E232" s="26"/>
      <c r="F232" s="26"/>
      <c r="G232" s="26"/>
      <c r="H232" s="26"/>
      <c r="I232" s="270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</row>
    <row r="233" ht="13.5" customHeight="1">
      <c r="A233" s="26"/>
      <c r="B233" s="26"/>
      <c r="C233" s="26"/>
      <c r="D233" s="26"/>
      <c r="E233" s="26"/>
      <c r="F233" s="26"/>
      <c r="G233" s="26"/>
      <c r="H233" s="26"/>
      <c r="I233" s="270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</row>
    <row r="234" ht="13.5" customHeight="1">
      <c r="A234" s="26"/>
      <c r="B234" s="26"/>
      <c r="C234" s="26"/>
      <c r="D234" s="26"/>
      <c r="E234" s="26"/>
      <c r="F234" s="26"/>
      <c r="G234" s="26"/>
      <c r="H234" s="26"/>
      <c r="I234" s="270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</row>
    <row r="235" ht="13.5" customHeight="1">
      <c r="A235" s="26"/>
      <c r="B235" s="26"/>
      <c r="C235" s="26"/>
      <c r="D235" s="26"/>
      <c r="E235" s="26"/>
      <c r="F235" s="26"/>
      <c r="G235" s="26"/>
      <c r="H235" s="26"/>
      <c r="I235" s="270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</row>
    <row r="236" ht="13.5" customHeight="1">
      <c r="A236" s="26"/>
      <c r="B236" s="26"/>
      <c r="C236" s="26"/>
      <c r="D236" s="26"/>
      <c r="E236" s="26"/>
      <c r="F236" s="26"/>
      <c r="G236" s="26"/>
      <c r="H236" s="26"/>
      <c r="I236" s="270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</row>
    <row r="237" ht="13.5" customHeight="1">
      <c r="A237" s="26"/>
      <c r="B237" s="26"/>
      <c r="C237" s="26"/>
      <c r="D237" s="26"/>
      <c r="E237" s="26"/>
      <c r="F237" s="26"/>
      <c r="G237" s="26"/>
      <c r="H237" s="26"/>
      <c r="I237" s="270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</row>
    <row r="238" ht="13.5" customHeight="1">
      <c r="A238" s="26"/>
      <c r="B238" s="26"/>
      <c r="C238" s="26"/>
      <c r="D238" s="26"/>
      <c r="E238" s="26"/>
      <c r="F238" s="26"/>
      <c r="G238" s="26"/>
      <c r="H238" s="26"/>
      <c r="I238" s="270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</row>
    <row r="239" ht="13.5" customHeight="1">
      <c r="A239" s="26"/>
      <c r="B239" s="26"/>
      <c r="C239" s="26"/>
      <c r="D239" s="26"/>
      <c r="E239" s="26"/>
      <c r="F239" s="26"/>
      <c r="G239" s="26"/>
      <c r="H239" s="26"/>
      <c r="I239" s="270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</row>
    <row r="240" ht="13.5" customHeight="1">
      <c r="A240" s="26"/>
      <c r="B240" s="26"/>
      <c r="C240" s="26"/>
      <c r="D240" s="26"/>
      <c r="E240" s="26"/>
      <c r="F240" s="26"/>
      <c r="G240" s="26"/>
      <c r="H240" s="26"/>
      <c r="I240" s="270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</row>
    <row r="241" ht="13.5" customHeight="1">
      <c r="A241" s="26"/>
      <c r="B241" s="26"/>
      <c r="C241" s="26"/>
      <c r="D241" s="26"/>
      <c r="E241" s="26"/>
      <c r="F241" s="26"/>
      <c r="G241" s="26"/>
      <c r="H241" s="26"/>
      <c r="I241" s="270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</row>
    <row r="242" ht="13.5" customHeight="1">
      <c r="A242" s="26"/>
      <c r="B242" s="26"/>
      <c r="C242" s="26"/>
      <c r="D242" s="26"/>
      <c r="E242" s="26"/>
      <c r="F242" s="26"/>
      <c r="G242" s="26"/>
      <c r="H242" s="26"/>
      <c r="I242" s="270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</row>
    <row r="243" ht="13.5" customHeight="1">
      <c r="A243" s="26"/>
      <c r="B243" s="26"/>
      <c r="C243" s="26"/>
      <c r="D243" s="26"/>
      <c r="E243" s="26"/>
      <c r="F243" s="26"/>
      <c r="G243" s="26"/>
      <c r="H243" s="26"/>
      <c r="I243" s="270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</row>
    <row r="244" ht="13.5" customHeight="1">
      <c r="A244" s="26"/>
      <c r="B244" s="26"/>
      <c r="C244" s="26"/>
      <c r="D244" s="26"/>
      <c r="E244" s="26"/>
      <c r="F244" s="26"/>
      <c r="G244" s="26"/>
      <c r="H244" s="26"/>
      <c r="I244" s="270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</row>
    <row r="245" ht="13.5" customHeight="1">
      <c r="A245" s="26"/>
      <c r="B245" s="26"/>
      <c r="C245" s="26"/>
      <c r="D245" s="26"/>
      <c r="E245" s="26"/>
      <c r="F245" s="26"/>
      <c r="G245" s="26"/>
      <c r="H245" s="26"/>
      <c r="I245" s="270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</row>
    <row r="246" ht="13.5" customHeight="1">
      <c r="A246" s="26"/>
      <c r="B246" s="26"/>
      <c r="C246" s="26"/>
      <c r="D246" s="26"/>
      <c r="E246" s="26"/>
      <c r="F246" s="26"/>
      <c r="G246" s="26"/>
      <c r="H246" s="26"/>
      <c r="I246" s="270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</row>
    <row r="247" ht="13.5" customHeight="1">
      <c r="A247" s="26"/>
      <c r="B247" s="26"/>
      <c r="C247" s="26"/>
      <c r="D247" s="26"/>
      <c r="E247" s="26"/>
      <c r="F247" s="26"/>
      <c r="G247" s="26"/>
      <c r="H247" s="26"/>
      <c r="I247" s="270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</row>
    <row r="248" ht="13.5" customHeight="1">
      <c r="A248" s="26"/>
      <c r="B248" s="26"/>
      <c r="C248" s="26"/>
      <c r="D248" s="26"/>
      <c r="E248" s="26"/>
      <c r="F248" s="26"/>
      <c r="G248" s="26"/>
      <c r="H248" s="26"/>
      <c r="I248" s="270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</row>
    <row r="249" ht="13.5" customHeight="1">
      <c r="A249" s="26"/>
      <c r="B249" s="26"/>
      <c r="C249" s="26"/>
      <c r="D249" s="26"/>
      <c r="E249" s="26"/>
      <c r="F249" s="26"/>
      <c r="G249" s="26"/>
      <c r="H249" s="26"/>
      <c r="I249" s="270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</row>
    <row r="250" ht="13.5" customHeight="1">
      <c r="A250" s="26"/>
      <c r="B250" s="26"/>
      <c r="C250" s="26"/>
      <c r="D250" s="26"/>
      <c r="E250" s="26"/>
      <c r="F250" s="26"/>
      <c r="G250" s="26"/>
      <c r="H250" s="26"/>
      <c r="I250" s="270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</row>
    <row r="251" ht="13.5" customHeight="1">
      <c r="A251" s="26"/>
      <c r="B251" s="26"/>
      <c r="C251" s="26"/>
      <c r="D251" s="26"/>
      <c r="E251" s="26"/>
      <c r="F251" s="26"/>
      <c r="G251" s="26"/>
      <c r="H251" s="26"/>
      <c r="I251" s="270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</row>
    <row r="252" ht="13.5" customHeight="1">
      <c r="A252" s="26"/>
      <c r="B252" s="26"/>
      <c r="C252" s="26"/>
      <c r="D252" s="26"/>
      <c r="E252" s="26"/>
      <c r="F252" s="26"/>
      <c r="G252" s="26"/>
      <c r="H252" s="26"/>
      <c r="I252" s="270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</row>
    <row r="253" ht="13.5" customHeight="1">
      <c r="A253" s="26"/>
      <c r="B253" s="26"/>
      <c r="C253" s="26"/>
      <c r="D253" s="26"/>
      <c r="E253" s="26"/>
      <c r="F253" s="26"/>
      <c r="G253" s="26"/>
      <c r="H253" s="26"/>
      <c r="I253" s="270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</row>
    <row r="254" ht="13.5" customHeight="1">
      <c r="A254" s="26"/>
      <c r="B254" s="26"/>
      <c r="C254" s="26"/>
      <c r="D254" s="26"/>
      <c r="E254" s="26"/>
      <c r="F254" s="26"/>
      <c r="G254" s="26"/>
      <c r="H254" s="26"/>
      <c r="I254" s="270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</row>
    <row r="255" ht="13.5" customHeight="1">
      <c r="A255" s="26"/>
      <c r="B255" s="26"/>
      <c r="C255" s="26"/>
      <c r="D255" s="26"/>
      <c r="E255" s="26"/>
      <c r="F255" s="26"/>
      <c r="G255" s="26"/>
      <c r="H255" s="26"/>
      <c r="I255" s="270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</row>
    <row r="256" ht="13.5" customHeight="1">
      <c r="A256" s="26"/>
      <c r="B256" s="26"/>
      <c r="C256" s="26"/>
      <c r="D256" s="26"/>
      <c r="E256" s="26"/>
      <c r="F256" s="26"/>
      <c r="G256" s="26"/>
      <c r="H256" s="26"/>
      <c r="I256" s="270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</row>
    <row r="257" ht="13.5" customHeight="1">
      <c r="A257" s="26"/>
      <c r="B257" s="26"/>
      <c r="C257" s="26"/>
      <c r="D257" s="26"/>
      <c r="E257" s="26"/>
      <c r="F257" s="26"/>
      <c r="G257" s="26"/>
      <c r="H257" s="26"/>
      <c r="I257" s="270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</row>
    <row r="258" ht="13.5" customHeight="1">
      <c r="A258" s="26"/>
      <c r="B258" s="26"/>
      <c r="C258" s="26"/>
      <c r="D258" s="26"/>
      <c r="E258" s="26"/>
      <c r="F258" s="26"/>
      <c r="G258" s="26"/>
      <c r="H258" s="26"/>
      <c r="I258" s="270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</row>
    <row r="259" ht="13.5" customHeight="1">
      <c r="A259" s="26"/>
      <c r="B259" s="26"/>
      <c r="C259" s="26"/>
      <c r="D259" s="26"/>
      <c r="E259" s="26"/>
      <c r="F259" s="26"/>
      <c r="G259" s="26"/>
      <c r="H259" s="26"/>
      <c r="I259" s="270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</row>
    <row r="260" ht="13.5" customHeight="1">
      <c r="A260" s="26"/>
      <c r="B260" s="26"/>
      <c r="C260" s="26"/>
      <c r="D260" s="26"/>
      <c r="E260" s="26"/>
      <c r="F260" s="26"/>
      <c r="G260" s="26"/>
      <c r="H260" s="26"/>
      <c r="I260" s="270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</row>
    <row r="261" ht="13.5" customHeight="1">
      <c r="A261" s="26"/>
      <c r="B261" s="26"/>
      <c r="C261" s="26"/>
      <c r="D261" s="26"/>
      <c r="E261" s="26"/>
      <c r="F261" s="26"/>
      <c r="G261" s="26"/>
      <c r="H261" s="26"/>
      <c r="I261" s="270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</row>
    <row r="262" ht="13.5" customHeight="1">
      <c r="A262" s="26"/>
      <c r="B262" s="26"/>
      <c r="C262" s="26"/>
      <c r="D262" s="26"/>
      <c r="E262" s="26"/>
      <c r="F262" s="26"/>
      <c r="G262" s="26"/>
      <c r="H262" s="26"/>
      <c r="I262" s="270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</row>
    <row r="263" ht="13.5" customHeight="1">
      <c r="A263" s="26"/>
      <c r="B263" s="26"/>
      <c r="C263" s="26"/>
      <c r="D263" s="26"/>
      <c r="E263" s="26"/>
      <c r="F263" s="26"/>
      <c r="G263" s="26"/>
      <c r="H263" s="26"/>
      <c r="I263" s="270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</row>
    <row r="264" ht="13.5" customHeight="1">
      <c r="A264" s="26"/>
      <c r="B264" s="26"/>
      <c r="C264" s="26"/>
      <c r="D264" s="26"/>
      <c r="E264" s="26"/>
      <c r="F264" s="26"/>
      <c r="G264" s="26"/>
      <c r="H264" s="26"/>
      <c r="I264" s="270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</row>
    <row r="265" ht="13.5" customHeight="1">
      <c r="A265" s="26"/>
      <c r="B265" s="26"/>
      <c r="C265" s="26"/>
      <c r="D265" s="26"/>
      <c r="E265" s="26"/>
      <c r="F265" s="26"/>
      <c r="G265" s="26"/>
      <c r="H265" s="26"/>
      <c r="I265" s="270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</row>
    <row r="266" ht="13.5" customHeight="1">
      <c r="A266" s="26"/>
      <c r="B266" s="26"/>
      <c r="C266" s="26"/>
      <c r="D266" s="26"/>
      <c r="E266" s="26"/>
      <c r="F266" s="26"/>
      <c r="G266" s="26"/>
      <c r="H266" s="26"/>
      <c r="I266" s="270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</row>
    <row r="267" ht="13.5" customHeight="1">
      <c r="A267" s="26"/>
      <c r="B267" s="26"/>
      <c r="C267" s="26"/>
      <c r="D267" s="26"/>
      <c r="E267" s="26"/>
      <c r="F267" s="26"/>
      <c r="G267" s="26"/>
      <c r="H267" s="26"/>
      <c r="I267" s="270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</row>
    <row r="268" ht="13.5" customHeight="1">
      <c r="A268" s="26"/>
      <c r="B268" s="26"/>
      <c r="C268" s="26"/>
      <c r="D268" s="26"/>
      <c r="E268" s="26"/>
      <c r="F268" s="26"/>
      <c r="G268" s="26"/>
      <c r="H268" s="26"/>
      <c r="I268" s="270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</row>
    <row r="269" ht="13.5" customHeight="1">
      <c r="A269" s="26"/>
      <c r="B269" s="26"/>
      <c r="C269" s="26"/>
      <c r="D269" s="26"/>
      <c r="E269" s="26"/>
      <c r="F269" s="26"/>
      <c r="G269" s="26"/>
      <c r="H269" s="26"/>
      <c r="I269" s="270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</row>
    <row r="270" ht="13.5" customHeight="1">
      <c r="A270" s="26"/>
      <c r="B270" s="26"/>
      <c r="C270" s="26"/>
      <c r="D270" s="26"/>
      <c r="E270" s="26"/>
      <c r="F270" s="26"/>
      <c r="G270" s="26"/>
      <c r="H270" s="26"/>
      <c r="I270" s="270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</row>
    <row r="271" ht="13.5" customHeight="1">
      <c r="A271" s="26"/>
      <c r="B271" s="26"/>
      <c r="C271" s="26"/>
      <c r="D271" s="26"/>
      <c r="E271" s="26"/>
      <c r="F271" s="26"/>
      <c r="G271" s="26"/>
      <c r="H271" s="26"/>
      <c r="I271" s="270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</row>
    <row r="272" ht="13.5" customHeight="1">
      <c r="A272" s="26"/>
      <c r="B272" s="26"/>
      <c r="C272" s="26"/>
      <c r="D272" s="26"/>
      <c r="E272" s="26"/>
      <c r="F272" s="26"/>
      <c r="G272" s="26"/>
      <c r="H272" s="26"/>
      <c r="I272" s="270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</row>
    <row r="273" ht="13.5" customHeight="1">
      <c r="A273" s="26"/>
      <c r="B273" s="26"/>
      <c r="C273" s="26"/>
      <c r="D273" s="26"/>
      <c r="E273" s="26"/>
      <c r="F273" s="26"/>
      <c r="G273" s="26"/>
      <c r="H273" s="26"/>
      <c r="I273" s="270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</row>
    <row r="274" ht="13.5" customHeight="1">
      <c r="A274" s="26"/>
      <c r="B274" s="26"/>
      <c r="C274" s="26"/>
      <c r="D274" s="26"/>
      <c r="E274" s="26"/>
      <c r="F274" s="26"/>
      <c r="G274" s="26"/>
      <c r="H274" s="26"/>
      <c r="I274" s="270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</row>
    <row r="275" ht="13.5" customHeight="1">
      <c r="A275" s="26"/>
      <c r="B275" s="26"/>
      <c r="C275" s="26"/>
      <c r="D275" s="26"/>
      <c r="E275" s="26"/>
      <c r="F275" s="26"/>
      <c r="G275" s="26"/>
      <c r="H275" s="26"/>
      <c r="I275" s="270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</row>
    <row r="276" ht="13.5" customHeight="1">
      <c r="A276" s="26"/>
      <c r="B276" s="26"/>
      <c r="C276" s="26"/>
      <c r="D276" s="26"/>
      <c r="E276" s="26"/>
      <c r="F276" s="26"/>
      <c r="G276" s="26"/>
      <c r="H276" s="26"/>
      <c r="I276" s="270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</row>
    <row r="277" ht="13.5" customHeight="1">
      <c r="A277" s="26"/>
      <c r="B277" s="26"/>
      <c r="C277" s="26"/>
      <c r="D277" s="26"/>
      <c r="E277" s="26"/>
      <c r="F277" s="26"/>
      <c r="G277" s="26"/>
      <c r="H277" s="26"/>
      <c r="I277" s="270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</row>
    <row r="278" ht="13.5" customHeight="1">
      <c r="A278" s="26"/>
      <c r="B278" s="26"/>
      <c r="C278" s="26"/>
      <c r="D278" s="26"/>
      <c r="E278" s="26"/>
      <c r="F278" s="26"/>
      <c r="G278" s="26"/>
      <c r="H278" s="26"/>
      <c r="I278" s="270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</row>
    <row r="279" ht="13.5" customHeight="1">
      <c r="A279" s="26"/>
      <c r="B279" s="26"/>
      <c r="C279" s="26"/>
      <c r="D279" s="26"/>
      <c r="E279" s="26"/>
      <c r="F279" s="26"/>
      <c r="G279" s="26"/>
      <c r="H279" s="26"/>
      <c r="I279" s="270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</row>
    <row r="280" ht="13.5" customHeight="1">
      <c r="A280" s="26"/>
      <c r="B280" s="26"/>
      <c r="C280" s="26"/>
      <c r="D280" s="26"/>
      <c r="E280" s="26"/>
      <c r="F280" s="26"/>
      <c r="G280" s="26"/>
      <c r="H280" s="26"/>
      <c r="I280" s="270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</row>
    <row r="281" ht="13.5" customHeight="1">
      <c r="A281" s="26"/>
      <c r="B281" s="26"/>
      <c r="C281" s="26"/>
      <c r="D281" s="26"/>
      <c r="E281" s="26"/>
      <c r="F281" s="26"/>
      <c r="G281" s="26"/>
      <c r="H281" s="26"/>
      <c r="I281" s="270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</row>
    <row r="282" ht="13.5" customHeight="1">
      <c r="A282" s="26"/>
      <c r="B282" s="26"/>
      <c r="C282" s="26"/>
      <c r="D282" s="26"/>
      <c r="E282" s="26"/>
      <c r="F282" s="26"/>
      <c r="G282" s="26"/>
      <c r="H282" s="26"/>
      <c r="I282" s="270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</row>
  </sheetData>
  <mergeCells count="135">
    <mergeCell ref="C13:C14"/>
    <mergeCell ref="C16:J16"/>
    <mergeCell ref="N16:U16"/>
    <mergeCell ref="N18:N19"/>
    <mergeCell ref="Y18:Y19"/>
    <mergeCell ref="AJ18:AJ19"/>
    <mergeCell ref="AU18:AU19"/>
    <mergeCell ref="C18:C19"/>
    <mergeCell ref="C22:J22"/>
    <mergeCell ref="N22:U22"/>
    <mergeCell ref="AJ22:AQ22"/>
    <mergeCell ref="C24:C26"/>
    <mergeCell ref="N24:N26"/>
    <mergeCell ref="AJ24:AJ26"/>
    <mergeCell ref="AJ28:AQ28"/>
    <mergeCell ref="AJ30:AJ32"/>
    <mergeCell ref="C28:J28"/>
    <mergeCell ref="N28:U28"/>
    <mergeCell ref="Y28:AF28"/>
    <mergeCell ref="AU28:BB28"/>
    <mergeCell ref="N30:N32"/>
    <mergeCell ref="Y30:Y32"/>
    <mergeCell ref="AU30:AU32"/>
    <mergeCell ref="C3:J4"/>
    <mergeCell ref="N3:U4"/>
    <mergeCell ref="Y3:AF4"/>
    <mergeCell ref="AJ3:AQ4"/>
    <mergeCell ref="AU3:BB4"/>
    <mergeCell ref="C6:J6"/>
    <mergeCell ref="N6:U6"/>
    <mergeCell ref="AU6:BB6"/>
    <mergeCell ref="Y6:AF6"/>
    <mergeCell ref="AJ6:AQ6"/>
    <mergeCell ref="C8:C9"/>
    <mergeCell ref="N8:N9"/>
    <mergeCell ref="Y8:Y9"/>
    <mergeCell ref="AJ8:AJ9"/>
    <mergeCell ref="AU8:AU9"/>
    <mergeCell ref="Y13:Y14"/>
    <mergeCell ref="AJ13:AJ14"/>
    <mergeCell ref="Y16:AF16"/>
    <mergeCell ref="AJ16:AQ16"/>
    <mergeCell ref="AU16:BB16"/>
    <mergeCell ref="C11:J11"/>
    <mergeCell ref="N11:U11"/>
    <mergeCell ref="Y11:AF11"/>
    <mergeCell ref="AJ11:AQ11"/>
    <mergeCell ref="AU11:BB11"/>
    <mergeCell ref="N13:N14"/>
    <mergeCell ref="AU13:AU14"/>
    <mergeCell ref="Y22:AF22"/>
    <mergeCell ref="Y24:Y26"/>
    <mergeCell ref="AU22:BB22"/>
    <mergeCell ref="AU24:AU26"/>
    <mergeCell ref="AU34:BB34"/>
    <mergeCell ref="AU36:AU38"/>
    <mergeCell ref="AU40:BB40"/>
    <mergeCell ref="C49:C51"/>
    <mergeCell ref="C53:J53"/>
    <mergeCell ref="N53:U53"/>
    <mergeCell ref="Y53:AF53"/>
    <mergeCell ref="N55:N57"/>
    <mergeCell ref="Y55:Y57"/>
    <mergeCell ref="AJ55:AJ57"/>
    <mergeCell ref="N61:N63"/>
    <mergeCell ref="N67:N69"/>
    <mergeCell ref="AJ61:AJ63"/>
    <mergeCell ref="AJ67:AJ69"/>
    <mergeCell ref="AJ73:AJ75"/>
    <mergeCell ref="AJ80:AJ82"/>
    <mergeCell ref="C55:C57"/>
    <mergeCell ref="C59:J59"/>
    <mergeCell ref="N59:U59"/>
    <mergeCell ref="Y59:AF59"/>
    <mergeCell ref="Y61:Y63"/>
    <mergeCell ref="C67:C69"/>
    <mergeCell ref="Y67:Y69"/>
    <mergeCell ref="N78:U78"/>
    <mergeCell ref="Y78:AF78"/>
    <mergeCell ref="N73:N75"/>
    <mergeCell ref="N80:N82"/>
    <mergeCell ref="C71:J71"/>
    <mergeCell ref="N71:U71"/>
    <mergeCell ref="Y71:AF71"/>
    <mergeCell ref="C73:C75"/>
    <mergeCell ref="Y73:Y75"/>
    <mergeCell ref="C78:J78"/>
    <mergeCell ref="C80:C82"/>
    <mergeCell ref="Y80:Y82"/>
    <mergeCell ref="AJ59:AQ59"/>
    <mergeCell ref="AJ65:AQ65"/>
    <mergeCell ref="AU73:AU75"/>
    <mergeCell ref="AJ78:AQ78"/>
    <mergeCell ref="AU78:BB78"/>
    <mergeCell ref="AU80:AU82"/>
    <mergeCell ref="AJ47:AQ47"/>
    <mergeCell ref="AJ49:AJ51"/>
    <mergeCell ref="AJ53:AQ53"/>
    <mergeCell ref="AU53:BB53"/>
    <mergeCell ref="AU55:AU57"/>
    <mergeCell ref="AU59:BB59"/>
    <mergeCell ref="AU65:BB65"/>
    <mergeCell ref="Y34:AF34"/>
    <mergeCell ref="Y36:Y38"/>
    <mergeCell ref="C30:C32"/>
    <mergeCell ref="C34:J34"/>
    <mergeCell ref="N34:U34"/>
    <mergeCell ref="AJ34:AQ34"/>
    <mergeCell ref="C36:C38"/>
    <mergeCell ref="N36:N38"/>
    <mergeCell ref="AJ36:AJ38"/>
    <mergeCell ref="AJ42:AJ44"/>
    <mergeCell ref="AU42:AU44"/>
    <mergeCell ref="C40:J40"/>
    <mergeCell ref="N40:U40"/>
    <mergeCell ref="Y40:AF40"/>
    <mergeCell ref="AJ40:AQ40"/>
    <mergeCell ref="C42:C44"/>
    <mergeCell ref="N42:N44"/>
    <mergeCell ref="Y42:Y44"/>
    <mergeCell ref="C47:J47"/>
    <mergeCell ref="N47:U47"/>
    <mergeCell ref="Y47:AF47"/>
    <mergeCell ref="AU47:BB47"/>
    <mergeCell ref="N49:N51"/>
    <mergeCell ref="Y49:Y51"/>
    <mergeCell ref="AU49:AU51"/>
    <mergeCell ref="C61:C63"/>
    <mergeCell ref="C65:J65"/>
    <mergeCell ref="N65:U65"/>
    <mergeCell ref="Y65:AF65"/>
    <mergeCell ref="AU61:AU63"/>
    <mergeCell ref="AU67:AU69"/>
    <mergeCell ref="AJ71:AQ71"/>
    <mergeCell ref="AU71:BB7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2021-01-15T17:39:55Z</dcterms:created>
  <dc:creator>HP</dc:creator>
</cp:coreProperties>
</file>