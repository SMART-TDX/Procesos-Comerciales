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cre IPC 2025" sheetId="1" r:id="rId4"/>
    <sheet state="hidden" name="Resumen Inst" sheetId="2" r:id="rId5"/>
    <sheet state="hidden" name="Tarifas Instituto 2024" sheetId="3" r:id="rId6"/>
    <sheet state="hidden" name="Tarifas 2X1" sheetId="4" r:id="rId7"/>
    <sheet state="hidden" name="Tarifas Rescate" sheetId="5" r:id="rId8"/>
    <sheet state="visible" name="Tarifas Smart Online 2026" sheetId="6" r:id="rId9"/>
    <sheet state="visible" name="Tarifas Cursos Cortos 2026" sheetId="7" r:id="rId10"/>
    <sheet state="hidden" name="Tarifas Examenes 2024" sheetId="8" r:id="rId11"/>
    <sheet state="hidden" name="Tarifas Planes Examanes 2023 UD" sheetId="9" r:id="rId12"/>
  </sheets>
  <externalReferences>
    <externalReference r:id="rId13"/>
    <externalReference r:id="rId14"/>
  </externalReferences>
  <definedNames>
    <definedName name="_1_Modulo">[1]Tablas!$AC$1:$AD$10</definedName>
    <definedName name="_2_Modulos">[1]Tablas!$AF$1:$AH$6</definedName>
    <definedName localSheetId="3" name="_2_NIVELES">[2]Hoja1!$F$3:$F$6</definedName>
    <definedName localSheetId="2" name="_2_NIVELES">[2]Hoja1!$F$3:$F$6</definedName>
    <definedName localSheetId="4" name="_2_NIVELES">[2]Hoja1!$F$3:$F$6</definedName>
    <definedName localSheetId="5" name="_2_NIVELES">[2]Hoja1!$F$3:$F$6</definedName>
    <definedName name="_3_Modulos">[1]Tablas!$AJ$1:$AL$5</definedName>
    <definedName localSheetId="3" name="_3_NIVELES">[2]Hoja1!$H$3:$H$5</definedName>
    <definedName localSheetId="2" name="_3_NIVELES">[2]Hoja1!$H$3:$H$5</definedName>
    <definedName localSheetId="4" name="_3_NIVELES">[2]Hoja1!$H$3:$H$5</definedName>
    <definedName localSheetId="5" name="_3_NIVELES">[2]Hoja1!$H$3:$H$5</definedName>
    <definedName name="_4_Modulos">[1]Tablas!$AN$1:$AP$4</definedName>
    <definedName name="CuotaInicial">[1]!Tabla7[#All]</definedName>
    <definedName name="Descuentos">[1]!Tabla6[#All]</definedName>
    <definedName name="Descuentos_Especiales">[1]!Tabla3[#All]</definedName>
    <definedName localSheetId="3" name="NIVELES">[2]Hoja1!$B$4:$B$7</definedName>
    <definedName localSheetId="2" name="NIVELES">[2]Hoja1!$B$4:$B$7</definedName>
    <definedName localSheetId="4" name="NIVELES">[2]Hoja1!$B$4:$B$7</definedName>
    <definedName localSheetId="5" name="NIVELES">[2]Hoja1!$B$4:$B$7</definedName>
    <definedName name="Plazos">[1]!Tabla5[#All]</definedName>
    <definedName name="Precios_plenos">[1]Tablas!$A$1:$D$7</definedName>
    <definedName localSheetId="3" name="UN_NIVEL">[2]Hoja1!$D$4:$D$7</definedName>
    <definedName localSheetId="2" name="UN_NIVEL">[2]Hoja1!$D$4:$D$7</definedName>
    <definedName localSheetId="4" name="UN_NIVEL">[2]Hoja1!$D$4:$D$7</definedName>
    <definedName localSheetId="5" name="UN_NIVEL">[2]Hoja1!$D$4:$D$7</definedName>
    <definedName localSheetId="7" name="_2_NIVELES">#REF!</definedName>
    <definedName name="DASDASDASD">#REF!</definedName>
    <definedName name="FDSFSDF">#REF!</definedName>
    <definedName localSheetId="7" name="_3_NIVELES">#REF!</definedName>
    <definedName name="_2_NIVELES">#REF!</definedName>
    <definedName localSheetId="3" name="SADASDAD">#REF!</definedName>
    <definedName localSheetId="4" name="SADASDAD">#REF!</definedName>
    <definedName localSheetId="3" name="ASDASDA">#REF!</definedName>
    <definedName name="_3_NIVELES">#REF!</definedName>
    <definedName name="NIVELES">#REF!</definedName>
    <definedName name="ASDASDA">#REF!</definedName>
    <definedName name="DSDS">#REF!</definedName>
    <definedName name="UN_NIVEL">#REF!</definedName>
    <definedName localSheetId="7" name="NIVELES">#REF!</definedName>
    <definedName localSheetId="4" name="ASDASDA">#REF!</definedName>
    <definedName localSheetId="3" name="FDSFSDF">#REF!</definedName>
    <definedName name="_3333">#REF!</definedName>
    <definedName localSheetId="3" name="DASDASDASD">#REF!</definedName>
    <definedName name="SADASDAD">#REF!</definedName>
    <definedName localSheetId="4" name="DASDASDASD">#REF!</definedName>
    <definedName localSheetId="7" name="UN_NIVEL">#REF!</definedName>
    <definedName localSheetId="4" name="FDSFSDF">#REF!</definedName>
  </definedNames>
  <calcPr/>
  <extLst>
    <ext uri="GoogleSheetsCustomDataVersion2">
      <go:sheetsCustomData xmlns:go="http://customooxmlschemas.google.com/" r:id="rId15" roundtripDataChecksum="kRCbvtSsm5KqA+o9CQBlHJMIMznfbd2P3EAx0j4n8Sc="/>
    </ext>
  </extLst>
</workbook>
</file>

<file path=xl/sharedStrings.xml><?xml version="1.0" encoding="utf-8"?>
<sst xmlns="http://schemas.openxmlformats.org/spreadsheetml/2006/main" count="900" uniqueCount="196">
  <si>
    <t>TARIFA PUBLICO</t>
  </si>
  <si>
    <t>IPC 2025</t>
  </si>
  <si>
    <t>TARIFA ALIANZA</t>
  </si>
  <si>
    <t>INCREMENTO IPC 2026</t>
  </si>
  <si>
    <t>2026 FINAL</t>
  </si>
  <si>
    <t>% INCREMENTO</t>
  </si>
  <si>
    <t xml:space="preserve">$ INCREMENTO </t>
  </si>
  <si>
    <t>TARIFA PREVENTA</t>
  </si>
  <si>
    <t>6 Meses</t>
  </si>
  <si>
    <t>TARIFA COLABORADOR</t>
  </si>
  <si>
    <t>NIVELES</t>
  </si>
  <si>
    <t>PRECIO 2024</t>
  </si>
  <si>
    <t>PRECIO CONTADO</t>
  </si>
  <si>
    <t>PRECIO FINAN CORTO
(2, 3, 4 Y 5 CUOTAS)</t>
  </si>
  <si>
    <t>PRECIO FINAN FULL</t>
  </si>
  <si>
    <t>9 Meses</t>
  </si>
  <si>
    <t>6 meses</t>
  </si>
  <si>
    <t>12 Meses</t>
  </si>
  <si>
    <t>Preparcion 2H</t>
  </si>
  <si>
    <t>N/A</t>
  </si>
  <si>
    <t>Preparcion 4H</t>
  </si>
  <si>
    <t>9 meses</t>
  </si>
  <si>
    <t>TARIFAS INGLES / FRANCES INSTITUTO 2024
PRECIO AL PUBLICO - 2X1</t>
  </si>
  <si>
    <t>TARIFAS INGLES / FRANCES SMART ONLINE 2024
PRECIO AL PUBLICO - 2X1</t>
  </si>
  <si>
    <t>Smart Chef</t>
  </si>
  <si>
    <t>Smart Office Suite Skills</t>
  </si>
  <si>
    <t>Plan 4 Niveles
 (704 Horas Académicas Niveles A1, A2, B1 y B2)</t>
  </si>
  <si>
    <t>Smart Bussines English</t>
  </si>
  <si>
    <t>12 meses</t>
  </si>
  <si>
    <t>Plan 6 Meses Smart OnLine
 (Basico 1 y Basico 2 o Intermedio 1, 2 y avanzado 1)</t>
  </si>
  <si>
    <t>VALOR FULL PLAN</t>
  </si>
  <si>
    <t>N° CUOTAS</t>
  </si>
  <si>
    <t>DESCUENTO</t>
  </si>
  <si>
    <t>CUOTA INICIAL</t>
  </si>
  <si>
    <t>VALOR CUOTAS</t>
  </si>
  <si>
    <t>VALOR TOTAL</t>
  </si>
  <si>
    <t>VALOR HORA</t>
  </si>
  <si>
    <t>MAXIMA INTENSIDAD MENSUAL</t>
  </si>
  <si>
    <t>VALOR CUOTA INICIAL
(MINIMA)</t>
  </si>
  <si>
    <t>TARIFAS INGLES / FRANCES INSTITUTO 2024
PRECIO AL PUBLICO</t>
  </si>
  <si>
    <t>TARIFAS INGLES / FRANCES INSTITUTO 2024
PRECIO CONVENIO EMPRESARIAL / CAMPAÑA 10% ADICIONAL</t>
  </si>
  <si>
    <t>TARIFAS INGLES / FRANCES INSTITUTO 2024
PRECIO CAMPAÑA PREVENTA / ESPECIAL 15% ADICIONAL</t>
  </si>
  <si>
    <t>TARIFAS INGLES / FRANCES INSTITUTO 2024
PRECIO COLABORADOR / 20% ADICIONAL</t>
  </si>
  <si>
    <t>Plan 1 Nivel
(162 Horas Académicas Niveles A1 o A2)</t>
  </si>
  <si>
    <t>Plan 4 Niveles
 (744 Horas Académicas Niveles A2, B1, B2 y C1)</t>
  </si>
  <si>
    <t>Plan 9 Meses Smart OnLine
 (Basico 2, Intermedio 1, 2 y Avanzado 1)</t>
  </si>
  <si>
    <t>Plan 5 Niveles
 (906 Horas Académicas Niveles A1, A2, B1, B2 y C1)</t>
  </si>
  <si>
    <t>Plan 12 Meses Smart OnLine
 (Basico 1, 2, Intemerdio 1, 2 y Avanzado 1)</t>
  </si>
  <si>
    <t>TARIFAS INGLES / FRANCES INSTITUTO 2024
PRECIO AL PUBLICO - RESCATE</t>
  </si>
  <si>
    <t>TARIFAS INGLES / FRANCES SMART ONLINE 2024
PRECIO AL PUBLICO - RESCATE</t>
  </si>
  <si>
    <t>Plan 1 Nivel
(178 Horas Académicas Nivel B1)</t>
  </si>
  <si>
    <t>Plan 1 Nivel
(202 Horas Académicas Niveles B2 o C1)</t>
  </si>
  <si>
    <t>TARIFAS INGLES / FRANCES SMART ONLINE 2026
PRECIO AL PUBLICO - CONTADO</t>
  </si>
  <si>
    <t>TARIFAS INGLES / FRANCES SMART ONLINE 2026
PRECIO AL PUBLICO - FINANCIADO / TU PLAN, TUS CUOTAS</t>
  </si>
  <si>
    <t>TARIFAS INGLES / FRANCES SMART ONLINE 2026
CONVENIOS</t>
  </si>
  <si>
    <t>CURSOS CORTOS SMART</t>
  </si>
  <si>
    <t>CURSO</t>
  </si>
  <si>
    <t>DURACIÓN
(SEMANAS)</t>
  </si>
  <si>
    <t>HORARIOS DISPONIBLES</t>
  </si>
  <si>
    <t>MINIMO DE ESTUDIANTES</t>
  </si>
  <si>
    <t>NIVEL REQUERIDO
(SEGÚN TEST SMART)</t>
  </si>
  <si>
    <t>FECHAS Y MAS INFORMACION</t>
  </si>
  <si>
    <t>Plan 2 Niveles
(324 Horas Académicas Niveles A1 y A2)</t>
  </si>
  <si>
    <t>Preparacion Examen MET (2 Habilidades) + Simulacro</t>
  </si>
  <si>
    <t>10:00 a.m. o 6:00 P.M.</t>
  </si>
  <si>
    <t>B1</t>
  </si>
  <si>
    <t>https://docs.google.com/spreadsheets/d/1Q2HqMaMic7_AarZcQqs4PZM9Uu34qmqEp1RHP9H9mXY/edit#gid=1370905412</t>
  </si>
  <si>
    <t>Preparacion Examen MET (4 Habilidades) + Simulacro</t>
  </si>
  <si>
    <t>VALOR DEMAS CUOTAS</t>
  </si>
  <si>
    <t>-</t>
  </si>
  <si>
    <t>PRECIO EXAMENES INTERNACIONALES 2023</t>
  </si>
  <si>
    <t>EXAMENES MICHIGAN</t>
  </si>
  <si>
    <t>EXAMENES CAMBRIDGE</t>
  </si>
  <si>
    <t>EXAMEN</t>
  </si>
  <si>
    <t>VALOR TOTAL USD</t>
  </si>
  <si>
    <t>ENFOQUE</t>
  </si>
  <si>
    <t>NIVEL DE MEDICION</t>
  </si>
  <si>
    <t>MYLE - Bronze</t>
  </si>
  <si>
    <t>Niños</t>
  </si>
  <si>
    <t>Pre A1</t>
  </si>
  <si>
    <t>Pre-A1 Starters</t>
  </si>
  <si>
    <t>MYLE - Silver</t>
  </si>
  <si>
    <t>A1</t>
  </si>
  <si>
    <t>A1 Movers</t>
  </si>
  <si>
    <t>MYLE - Gold</t>
  </si>
  <si>
    <t>A2</t>
  </si>
  <si>
    <t>A2 Flyers</t>
  </si>
  <si>
    <r>
      <rPr>
        <rFont val="Calibri"/>
        <b/>
        <color theme="1"/>
        <sz val="11.0"/>
      </rPr>
      <t xml:space="preserve">Nota:
</t>
    </r>
    <r>
      <rPr>
        <rFont val="Calibri"/>
        <color theme="1"/>
        <sz val="11.0"/>
      </rPr>
      <t>Para mayor informacion como fechas de inicio, beneficios, caracteristicas, entre otros, acceder desde el correo corporativo al siguiente link:
https://docs.google.com/spreadsheets/d/1Q2HqMaMic7_AarZcQqs4PZM9Uu34qmqEp1RHP9H9mXY/edit#gid=1370905412</t>
    </r>
  </si>
  <si>
    <t>SMART ON LINE</t>
  </si>
  <si>
    <t xml:space="preserve">Tarifa Publico </t>
  </si>
  <si>
    <t>Tarifa activa regular abierta</t>
  </si>
  <si>
    <t>Promocion 2 x 1 + Examen Linguaskills</t>
  </si>
  <si>
    <t>Tarifa Financiado/Tu plan tus cuotas</t>
  </si>
  <si>
    <t>Tarifa Convenios</t>
  </si>
  <si>
    <t>Tarifa activa Convenios si</t>
  </si>
  <si>
    <t>Campaña Smart Online - Público</t>
  </si>
  <si>
    <t>701WP00000jb5h6YAA</t>
  </si>
  <si>
    <t>Campaña Smart Online - Tu Plan, Tus Cuotas - Público</t>
  </si>
  <si>
    <t>701WP00000jcLr8YAE</t>
  </si>
  <si>
    <t>Campaña Smart Online - Convenios</t>
  </si>
  <si>
    <t>701WP00000jcJfnYAE</t>
  </si>
  <si>
    <t>Campaña Smart Online - Tu Plan, Tus Cuotas - Convenios</t>
  </si>
  <si>
    <t>701WP00000jayqLYAQ</t>
  </si>
  <si>
    <r>
      <rPr>
        <rFont val="Arial"/>
        <color rgb="FF1155CC"/>
        <sz val="11.0"/>
        <u/>
      </rPr>
      <t>Campaña Smart Online - 2x1 - Beca</t>
    </r>
  </si>
  <si>
    <r>
      <rPr>
        <rFont val="Arial"/>
        <color rgb="FF1155CC"/>
        <sz val="11.0"/>
        <u/>
      </rPr>
      <t>701WP00001H1bXtYAJ</t>
    </r>
  </si>
  <si>
    <t>Plan 2 Niveles
(340 Horas Académicas Niveles A2 y B1)</t>
  </si>
  <si>
    <t>Plan 2 Niveles
(380 Horas Académicas Niveles B1 y B2)</t>
  </si>
  <si>
    <t>MET Go!</t>
  </si>
  <si>
    <t>Adolescentes (grados 6 a 9)</t>
  </si>
  <si>
    <t>Entre A2 a C1</t>
  </si>
  <si>
    <t>Linguaskill (2 Habilidades)</t>
  </si>
  <si>
    <t>Jovenes (grado 11) - Adultos</t>
  </si>
  <si>
    <t>Entre Pre-A1 a C1 superior</t>
  </si>
  <si>
    <t>MET Go! + Speaking</t>
  </si>
  <si>
    <t>Linguaskill (4 Habilidades)</t>
  </si>
  <si>
    <t>MET (2 Habilidades)*</t>
  </si>
  <si>
    <t>Jóvenes (grados 10 y 11) y Adultos</t>
  </si>
  <si>
    <t>CEPT (Placement Test 2 habilidades)</t>
  </si>
  <si>
    <t>Mayores de 12 años</t>
  </si>
  <si>
    <t>MET (4 habilidades)*</t>
  </si>
  <si>
    <t>A2 Key (KET)</t>
  </si>
  <si>
    <t>Adultos</t>
  </si>
  <si>
    <t>A2 (con certificación extendida: hasta un nivel por encima y por debajo)</t>
  </si>
  <si>
    <t>ECCE</t>
  </si>
  <si>
    <t>B2</t>
  </si>
  <si>
    <t>A2 Key for Schools (KETfS)</t>
  </si>
  <si>
    <t>Adolescentes</t>
  </si>
  <si>
    <t>ECPE</t>
  </si>
  <si>
    <t>C2</t>
  </si>
  <si>
    <t>B1 Preliminary (PET)</t>
  </si>
  <si>
    <t>B1 (con certificación extendida: hasta un nivel por encima y por debajo)</t>
  </si>
  <si>
    <t>B1 Preliminary for Schools (PETfS)</t>
  </si>
  <si>
    <t>B2 First (FCE)</t>
  </si>
  <si>
    <t>B2 (con certificación extendida: hasta un nivel por encima y por debajo)</t>
  </si>
  <si>
    <t>B2 First for Schools (FCE)</t>
  </si>
  <si>
    <t>C1 Advanced</t>
  </si>
  <si>
    <t>C1 (con certificación extendida: hasta un nivel por encima y por debajo)</t>
  </si>
  <si>
    <t>C2 Proficiency</t>
  </si>
  <si>
    <t>C2 (con certificación extendida: hasta un nivel por encima)</t>
  </si>
  <si>
    <t>TKT por módulo</t>
  </si>
  <si>
    <t>Profesionales y Docentes</t>
  </si>
  <si>
    <t>Competencias académicas (Conocimiento de enseñanza del inglés)</t>
  </si>
  <si>
    <t>TKT Módulos 1 al 3</t>
  </si>
  <si>
    <t>Plan 2 Niveles
(404 Horas Académicas Niveles B2 y C1)</t>
  </si>
  <si>
    <t>Plan 3 Niveles
 (502 Horas Académicas Niveles A1, A2 y B1)</t>
  </si>
  <si>
    <t>TARIFAS EXAMENES (BOGOTA, MEDELLIN O SANTANDER)</t>
  </si>
  <si>
    <t>TARIFAS EXAMENES REGIONALES (OTRAS CIUDADES)</t>
  </si>
  <si>
    <t>EXAMENES MICHIGAN 2023</t>
  </si>
  <si>
    <t>EXAMENES MICHIGAN 2023 REGIONALES (ORAS CIUDADES)</t>
  </si>
  <si>
    <t>VALOR TOTAL PUBLICO</t>
  </si>
  <si>
    <t>PLAN INICIAL</t>
  </si>
  <si>
    <t>PLAN BÁSICO</t>
  </si>
  <si>
    <t>PLAN MEDIO</t>
  </si>
  <si>
    <t>PLAN PLUS</t>
  </si>
  <si>
    <t>PRECIO 2023 USD Regiones</t>
  </si>
  <si>
    <t>10 A 39</t>
  </si>
  <si>
    <t>40 a 70</t>
  </si>
  <si>
    <t>71 a 99</t>
  </si>
  <si>
    <t>100 en adelante</t>
  </si>
  <si>
    <t>MYLE - Bronze*</t>
  </si>
  <si>
    <t>MYLE - Silver *</t>
  </si>
  <si>
    <t>Plan 3 Niveles
 (542 Horas Académicas Niveles A2, B1 y B2)</t>
  </si>
  <si>
    <t>MET 2 Skills</t>
  </si>
  <si>
    <t>MET 4 Skills</t>
  </si>
  <si>
    <t>* En los planes: inicial y basico el examen con simulacro tiene un costo adicional de 4 USD para 2 habilidades o 6 USD para 4 habilidades. En el plan medio y plus pregunta con tu asesor que beneficios tienes con los simulacros</t>
  </si>
  <si>
    <t>EXAMENES CAMBRIDGE 2023 REGIONALES (OTRAS CIUDADES)</t>
  </si>
  <si>
    <t>PRECIO 2023 REGIONAL USD</t>
  </si>
  <si>
    <t>A2 Key</t>
  </si>
  <si>
    <t>A2 Key for Schools</t>
  </si>
  <si>
    <t>B1 Preliminary</t>
  </si>
  <si>
    <t>B1 Preliminary for Schools</t>
  </si>
  <si>
    <t>B2 First</t>
  </si>
  <si>
    <t>B2 First for Schools</t>
  </si>
  <si>
    <t>TKT por módulo *</t>
  </si>
  <si>
    <t>TKT Módulos 1 al 3 *</t>
  </si>
  <si>
    <t>Nota: En los planes: inicial y basico el examen con simulacro tiene un costo adicional de 4 USD para 2 habilidades o 6 USD para 4 habilidades. En el plan medio y plus pregunta con tu asesor que beneficios tienes con los simulacros
* No aplican simulacros</t>
  </si>
  <si>
    <t>EXAMENES VIRTUALES</t>
  </si>
  <si>
    <t>20 a 50</t>
  </si>
  <si>
    <t>51 a 150</t>
  </si>
  <si>
    <t>151 o más</t>
  </si>
  <si>
    <t>Linguaskill (1 Habilidad)</t>
  </si>
  <si>
    <t>Plan 3 Niveles
 (582 Horas Académicas Niveles B1, B2 y C1)</t>
  </si>
  <si>
    <t>EXAMENES DE DIAGNOSTICO</t>
  </si>
  <si>
    <t>20 A 99</t>
  </si>
  <si>
    <t>100 A 199</t>
  </si>
  <si>
    <t>200 A 499</t>
  </si>
  <si>
    <t>500 O MÁS</t>
  </si>
  <si>
    <t>CEPT CON RR</t>
  </si>
  <si>
    <t>CEPT SIN RR</t>
  </si>
  <si>
    <t>ESTE PLAN SIEMPRE EN PESOS COLOMBIANOS</t>
  </si>
  <si>
    <t>PRUEBA COMPLETA (CEPT + SPEAKING)</t>
  </si>
  <si>
    <t>Cambridge English Placement Test + Speaking</t>
  </si>
  <si>
    <t>Planes</t>
  </si>
  <si>
    <t>Precio publico</t>
  </si>
  <si>
    <t>1 a 3 personas</t>
  </si>
  <si>
    <t>4 personas en adelante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</si>
</sst>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&quot;$&quot;* #,##0_-;\-&quot;$&quot;* #,##0_-;_-&quot;$&quot;* &quot;-&quot;??_-;_-@"/>
    <numFmt numFmtId="165" formatCode="_-&quot;$&quot;\ * #,##0_-;\-&quot;$&quot;\ * #,##0_-;_-&quot;$&quot;\ * &quot;-&quot;??_-;_-@"/>
    <numFmt numFmtId="166" formatCode="[$$-240A]\ #,##0"/>
    <numFmt numFmtId="167" formatCode="_-&quot;$&quot;\ * #,##0_-;\-&quot;$&quot;\ * #,##0_-;_-&quot;$&quot;\ * &quot;-&quot;_-;_-@"/>
    <numFmt numFmtId="168" formatCode="_-&quot;$&quot;* #,##0.00_-;\-&quot;$&quot;* #,##0.00_-;_-&quot;$&quot;* &quot;-&quot;??_-;_-@"/>
    <numFmt numFmtId="169" formatCode="_-&quot;$&quot;* #,##0.0_-;\-&quot;$&quot;* #,##0.0_-;_-&quot;$&quot;* &quot;-&quot;?_-;_-@"/>
    <numFmt numFmtId="170" formatCode="_-&quot;$&quot;\ * #,##0.00_-;\-&quot;$&quot;\ * #,##0.00_-;_-&quot;$&quot;\ * &quot;-&quot;??_-;_-@"/>
    <numFmt numFmtId="171" formatCode="&quot;$&quot;#,##0;[Red]\-&quot;$&quot;#,##0"/>
    <numFmt numFmtId="172" formatCode="_-&quot;$&quot;* #,##0.00_-;\-&quot;$&quot;* #,##0.00_-;_-&quot;$&quot;* &quot;-&quot;??.00_-;_-@"/>
    <numFmt numFmtId="173" formatCode="[$ $]#,##0.00"/>
    <numFmt numFmtId="174" formatCode="_-[$$-240A]\ * #,##0.00_-;\-[$$-240A]\ * #,##0.00_-;_-[$$-240A]\ * &quot;-&quot;??_-;_-@"/>
  </numFmts>
  <fonts count="27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0"/>
      <name val="Calibri"/>
    </font>
    <font>
      <sz val="16.0"/>
      <color theme="1"/>
      <name val="Calibri"/>
    </font>
    <font>
      <b/>
      <sz val="9.0"/>
      <color rgb="FF000000"/>
      <name val="Calibri"/>
    </font>
    <font>
      <b/>
      <sz val="9.0"/>
      <color theme="1"/>
      <name val="Calibri"/>
    </font>
    <font>
      <sz val="11.0"/>
      <color theme="1"/>
      <name val="Arial Narrow"/>
    </font>
    <font>
      <b/>
      <sz val="14.0"/>
      <color theme="1"/>
      <name val="Arial Narrow"/>
    </font>
    <font>
      <b/>
      <sz val="11.0"/>
      <color theme="1"/>
      <name val="Arial Narrow"/>
    </font>
    <font>
      <sz val="12.0"/>
      <color theme="1"/>
      <name val="Arial Narrow"/>
    </font>
    <font>
      <u/>
      <sz val="11.0"/>
      <color theme="10"/>
      <name val="Calibri"/>
    </font>
    <font>
      <sz val="12.0"/>
      <color rgb="FF000000"/>
      <name val="Arial Narrow"/>
    </font>
    <font>
      <b/>
      <sz val="12.0"/>
      <color rgb="FF000000"/>
      <name val="Arial Narrow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b/>
      <sz val="16.0"/>
      <color rgb="FFFFFFFF"/>
      <name val="Arial Narrow"/>
    </font>
    <font>
      <b/>
      <sz val="14.0"/>
      <color rgb="FFFFFFFF"/>
      <name val="Calibri"/>
    </font>
    <font>
      <b/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ADB9CA"/>
        <bgColor rgb="FFADB9CA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6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0" fillId="0" fontId="1" numFmtId="10" xfId="0" applyAlignment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0" fillId="0" fontId="2" numFmtId="0" xfId="0" applyFont="1"/>
    <xf borderId="0" fillId="0" fontId="4" numFmtId="164" xfId="0" applyFont="1" applyNumberFormat="1"/>
    <xf borderId="1" fillId="4" fontId="2" numFmtId="0" xfId="0" applyAlignment="1" applyBorder="1" applyFill="1" applyFont="1">
      <alignment horizontal="center"/>
    </xf>
    <xf borderId="4" fillId="5" fontId="4" numFmtId="0" xfId="0" applyBorder="1" applyFill="1" applyFont="1"/>
    <xf borderId="1" fillId="6" fontId="2" numFmtId="0" xfId="0" applyAlignment="1" applyBorder="1" applyFill="1" applyFont="1">
      <alignment horizontal="center"/>
    </xf>
    <xf borderId="5" fillId="0" fontId="2" numFmtId="0" xfId="0" applyAlignment="1" applyBorder="1" applyFon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4" fillId="5" fontId="5" numFmtId="9" xfId="0" applyBorder="1" applyFont="1" applyNumberFormat="1"/>
    <xf borderId="5" fillId="2" fontId="2" numFmtId="164" xfId="0" applyAlignment="1" applyBorder="1" applyFont="1" applyNumberFormat="1">
      <alignment horizontal="center" shrinkToFit="0" vertical="center" wrapText="1"/>
    </xf>
    <xf borderId="0" fillId="0" fontId="4" numFmtId="165" xfId="0" applyFont="1" applyNumberFormat="1"/>
    <xf borderId="0" fillId="0" fontId="6" numFmtId="10" xfId="0" applyAlignment="1" applyFont="1" applyNumberFormat="1">
      <alignment horizontal="center" vertical="center"/>
    </xf>
    <xf borderId="5" fillId="3" fontId="2" numFmtId="164" xfId="0" applyAlignment="1" applyBorder="1" applyFont="1" applyNumberFormat="1">
      <alignment horizontal="center" shrinkToFit="0" vertical="center" wrapText="1"/>
    </xf>
    <xf borderId="4" fillId="5" fontId="4" numFmtId="0" xfId="0" applyAlignment="1" applyBorder="1" applyFont="1">
      <alignment horizontal="center" vertical="center"/>
    </xf>
    <xf borderId="5" fillId="4" fontId="2" numFmtId="164" xfId="0" applyAlignment="1" applyBorder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vertical="center"/>
    </xf>
    <xf borderId="5" fillId="6" fontId="2" numFmtId="164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6" fillId="5" fontId="4" numFmtId="0" xfId="0" applyBorder="1" applyFont="1"/>
    <xf borderId="7" fillId="5" fontId="4" numFmtId="0" xfId="0" applyBorder="1" applyFont="1"/>
    <xf borderId="7" fillId="5" fontId="4" numFmtId="0" xfId="0" applyAlignment="1" applyBorder="1" applyFont="1">
      <alignment horizontal="center" vertical="center"/>
    </xf>
    <xf borderId="8" fillId="5" fontId="4" numFmtId="0" xfId="0" applyBorder="1" applyFont="1"/>
    <xf borderId="9" fillId="5" fontId="4" numFmtId="0" xfId="0" applyBorder="1" applyFont="1"/>
    <xf borderId="10" fillId="7" fontId="2" numFmtId="0" xfId="0" applyAlignment="1" applyBorder="1" applyFill="1" applyFont="1">
      <alignment horizontal="center" shrinkToFit="0" wrapText="1"/>
    </xf>
    <xf borderId="11" fillId="0" fontId="3" numFmtId="0" xfId="0" applyBorder="1" applyFont="1"/>
    <xf borderId="12" fillId="0" fontId="3" numFmtId="0" xfId="0" applyBorder="1" applyFont="1"/>
    <xf borderId="13" fillId="5" fontId="4" numFmtId="0" xfId="0" applyBorder="1" applyFont="1"/>
    <xf borderId="10" fillId="8" fontId="2" numFmtId="0" xfId="0" applyAlignment="1" applyBorder="1" applyFill="1" applyFont="1">
      <alignment horizontal="center" shrinkToFit="0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5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7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8" fillId="5" fontId="8" numFmtId="166" xfId="0" applyAlignment="1" applyBorder="1" applyFont="1" applyNumberFormat="1">
      <alignment horizontal="center" vertical="center"/>
    </xf>
    <xf borderId="5" fillId="5" fontId="8" numFmtId="0" xfId="0" applyAlignment="1" applyBorder="1" applyFont="1">
      <alignment horizontal="center" shrinkToFit="0" vertical="center" wrapText="1"/>
    </xf>
    <xf borderId="17" fillId="7" fontId="7" numFmtId="0" xfId="0" applyAlignment="1" applyBorder="1" applyFont="1">
      <alignment horizontal="center" shrinkToFit="0" vertical="center" wrapText="1"/>
    </xf>
    <xf borderId="19" fillId="4" fontId="2" numFmtId="164" xfId="0" applyAlignment="1" applyBorder="1" applyFont="1" applyNumberFormat="1">
      <alignment horizontal="center" vertical="center"/>
    </xf>
    <xf borderId="5" fillId="5" fontId="4" numFmtId="0" xfId="0" applyAlignment="1" applyBorder="1" applyFont="1">
      <alignment horizontal="center" vertical="center"/>
    </xf>
    <xf borderId="5" fillId="5" fontId="4" numFmtId="10" xfId="0" applyAlignment="1" applyBorder="1" applyFont="1" applyNumberFormat="1">
      <alignment horizontal="center" vertical="center"/>
    </xf>
    <xf borderId="10" fillId="9" fontId="2" numFmtId="0" xfId="0" applyAlignment="1" applyBorder="1" applyFill="1" applyFont="1">
      <alignment horizontal="center" shrinkToFit="0" wrapText="1"/>
    </xf>
    <xf borderId="5" fillId="5" fontId="4" numFmtId="164" xfId="0" applyAlignment="1" applyBorder="1" applyFont="1" applyNumberFormat="1">
      <alignment horizontal="center" vertical="center"/>
    </xf>
    <xf borderId="10" fillId="4" fontId="2" numFmtId="0" xfId="0" applyAlignment="1" applyBorder="1" applyFont="1">
      <alignment horizontal="center" shrinkToFit="0" wrapText="1"/>
    </xf>
    <xf borderId="20" fillId="5" fontId="4" numFmtId="164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/>
    </xf>
    <xf borderId="19" fillId="7" fontId="2" numFmtId="164" xfId="0" applyAlignment="1" applyBorder="1" applyFont="1" applyNumberFormat="1">
      <alignment horizontal="center" vertical="center"/>
    </xf>
    <xf borderId="10" fillId="10" fontId="2" numFmtId="0" xfId="0" applyAlignment="1" applyBorder="1" applyFill="1" applyFont="1">
      <alignment horizontal="center" shrinkToFit="0" wrapText="1"/>
    </xf>
    <xf borderId="5" fillId="5" fontId="4" numFmtId="9" xfId="0" applyAlignment="1" applyBorder="1" applyFont="1" applyNumberFormat="1">
      <alignment horizontal="center" vertical="center"/>
    </xf>
    <xf borderId="21" fillId="0" fontId="3" numFmtId="0" xfId="0" applyBorder="1" applyFont="1"/>
    <xf borderId="5" fillId="5" fontId="4" numFmtId="167" xfId="0" applyAlignment="1" applyBorder="1" applyFont="1" applyNumberFormat="1">
      <alignment horizontal="center" vertical="center"/>
    </xf>
    <xf borderId="5" fillId="5" fontId="4" numFmtId="1" xfId="0" applyAlignment="1" applyBorder="1" applyFont="1" applyNumberFormat="1">
      <alignment horizontal="center" vertical="center"/>
    </xf>
    <xf borderId="13" fillId="5" fontId="4" numFmtId="164" xfId="0" applyBorder="1" applyFont="1" applyNumberFormat="1"/>
    <xf borderId="4" fillId="5" fontId="4" numFmtId="164" xfId="0" applyBorder="1" applyFont="1" applyNumberFormat="1"/>
    <xf borderId="4" fillId="5" fontId="2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5" fontId="8" numFmtId="166" xfId="0" applyAlignment="1" applyBorder="1" applyFont="1" applyNumberFormat="1">
      <alignment horizontal="center" vertical="center"/>
    </xf>
    <xf borderId="18" fillId="5" fontId="7" numFmtId="0" xfId="0" applyAlignment="1" applyBorder="1" applyFont="1">
      <alignment horizontal="center" shrinkToFit="0" vertical="center" wrapText="1"/>
    </xf>
    <xf borderId="17" fillId="5" fontId="8" numFmtId="166" xfId="0" applyAlignment="1" applyBorder="1" applyFont="1" applyNumberFormat="1">
      <alignment horizontal="center" vertical="center"/>
    </xf>
    <xf borderId="17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7" fillId="11" fontId="7" numFmtId="0" xfId="0" applyAlignment="1" applyBorder="1" applyFill="1" applyFont="1">
      <alignment horizontal="center" shrinkToFit="0" vertical="center" wrapText="1"/>
    </xf>
    <xf borderId="19" fillId="11" fontId="2" numFmtId="164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5" fillId="0" fontId="4" numFmtId="1" xfId="0" applyAlignment="1" applyBorder="1" applyFont="1" applyNumberFormat="1">
      <alignment horizontal="center" vertical="center"/>
    </xf>
    <xf borderId="5" fillId="0" fontId="4" numFmtId="10" xfId="0" applyAlignment="1" applyBorder="1" applyFont="1" applyNumberFormat="1">
      <alignment horizontal="center" vertical="center"/>
    </xf>
    <xf borderId="22" fillId="5" fontId="4" numFmtId="0" xfId="0" applyBorder="1" applyFont="1"/>
    <xf borderId="23" fillId="5" fontId="4" numFmtId="0" xfId="0" applyBorder="1" applyFont="1"/>
    <xf borderId="23" fillId="5" fontId="4" numFmtId="164" xfId="0" applyBorder="1" applyFont="1" applyNumberFormat="1"/>
    <xf borderId="23" fillId="5" fontId="4" numFmtId="0" xfId="0" applyAlignment="1" applyBorder="1" applyFont="1">
      <alignment horizontal="center" vertical="center"/>
    </xf>
    <xf borderId="24" fillId="5" fontId="4" numFmtId="0" xfId="0" applyBorder="1" applyFont="1"/>
    <xf borderId="0" fillId="0" fontId="4" numFmtId="168" xfId="0" applyFont="1" applyNumberFormat="1"/>
    <xf borderId="0" fillId="0" fontId="4" numFmtId="164" xfId="0" applyAlignment="1" applyFont="1" applyNumberFormat="1">
      <alignment horizontal="center" vertical="center"/>
    </xf>
    <xf borderId="0" fillId="0" fontId="4" numFmtId="167" xfId="0" applyFont="1" applyNumberFormat="1"/>
    <xf borderId="0" fillId="0" fontId="4" numFmtId="169" xfId="0" applyFont="1" applyNumberFormat="1"/>
    <xf borderId="0" fillId="0" fontId="4" numFmtId="0" xfId="0" applyFont="1"/>
    <xf borderId="4" fillId="5" fontId="4" numFmtId="1" xfId="0" applyAlignment="1" applyBorder="1" applyFont="1" applyNumberFormat="1">
      <alignment horizontal="center" vertical="center"/>
    </xf>
    <xf borderId="4" fillId="12" fontId="4" numFmtId="0" xfId="0" applyBorder="1" applyFill="1" applyFont="1"/>
    <xf borderId="10" fillId="13" fontId="2" numFmtId="0" xfId="0" applyAlignment="1" applyBorder="1" applyFill="1" applyFont="1">
      <alignment horizontal="center" shrinkToFit="0" wrapText="1"/>
    </xf>
    <xf borderId="10" fillId="14" fontId="2" numFmtId="0" xfId="0" applyAlignment="1" applyBorder="1" applyFill="1" applyFont="1">
      <alignment horizontal="center" shrinkToFit="0" wrapText="1"/>
    </xf>
    <xf borderId="4" fillId="5" fontId="9" numFmtId="0" xfId="0" applyBorder="1" applyFont="1"/>
    <xf borderId="4" fillId="5" fontId="9" numFmtId="0" xfId="0" applyAlignment="1" applyBorder="1" applyFont="1">
      <alignment horizontal="center" vertical="center"/>
    </xf>
    <xf borderId="25" fillId="0" fontId="3" numFmtId="0" xfId="0" applyBorder="1" applyFont="1"/>
    <xf borderId="26" fillId="5" fontId="10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7" fontId="7" numFmtId="0" xfId="0" applyAlignment="1" applyBorder="1" applyFont="1">
      <alignment horizontal="center" shrinkToFit="0" vertical="center" wrapText="1"/>
    </xf>
    <xf borderId="32" fillId="5" fontId="7" numFmtId="0" xfId="0" applyAlignment="1" applyBorder="1" applyFont="1">
      <alignment horizontal="center" shrinkToFit="0" vertical="center" wrapText="1"/>
    </xf>
    <xf borderId="10" fillId="5" fontId="7" numFmtId="0" xfId="0" applyAlignment="1" applyBorder="1" applyFont="1">
      <alignment horizontal="center" shrinkToFit="0" vertical="center" wrapText="1"/>
    </xf>
    <xf borderId="33" fillId="5" fontId="4" numFmtId="0" xfId="0" applyBorder="1" applyFont="1"/>
    <xf borderId="34" fillId="7" fontId="11" numFmtId="0" xfId="0" applyAlignment="1" applyBorder="1" applyFont="1">
      <alignment horizontal="center" vertical="center"/>
    </xf>
    <xf borderId="34" fillId="7" fontId="11" numFmtId="0" xfId="0" applyAlignment="1" applyBorder="1" applyFont="1">
      <alignment horizontal="center" shrinkToFit="0" vertical="center" wrapText="1"/>
    </xf>
    <xf borderId="19" fillId="5" fontId="4" numFmtId="0" xfId="0" applyAlignment="1" applyBorder="1" applyFont="1">
      <alignment horizontal="center" vertical="center"/>
    </xf>
    <xf borderId="19" fillId="15" fontId="4" numFmtId="10" xfId="0" applyAlignment="1" applyBorder="1" applyFill="1" applyFont="1" applyNumberFormat="1">
      <alignment horizontal="center" vertical="center"/>
    </xf>
    <xf borderId="10" fillId="5" fontId="4" numFmtId="164" xfId="0" applyAlignment="1" applyBorder="1" applyFont="1" applyNumberFormat="1">
      <alignment horizontal="center" vertical="center"/>
    </xf>
    <xf borderId="35" fillId="5" fontId="4" numFmtId="0" xfId="0" applyBorder="1" applyFont="1"/>
    <xf borderId="36" fillId="5" fontId="9" numFmtId="0" xfId="0" applyBorder="1" applyFont="1"/>
    <xf borderId="5" fillId="13" fontId="4" numFmtId="10" xfId="0" applyAlignment="1" applyBorder="1" applyFont="1" applyNumberFormat="1">
      <alignment horizontal="center" readingOrder="0" vertical="center"/>
    </xf>
    <xf borderId="36" fillId="5" fontId="9" numFmtId="164" xfId="0" applyBorder="1" applyFont="1" applyNumberFormat="1"/>
    <xf borderId="36" fillId="5" fontId="12" numFmtId="0" xfId="0" applyAlignment="1" applyBorder="1" applyFont="1">
      <alignment horizontal="center" vertical="center"/>
    </xf>
    <xf borderId="37" fillId="5" fontId="9" numFmtId="0" xfId="0" applyAlignment="1" applyBorder="1" applyFont="1">
      <alignment horizontal="center" vertical="center"/>
    </xf>
    <xf borderId="36" fillId="5" fontId="9" numFmtId="0" xfId="0" applyAlignment="1" applyBorder="1" applyFont="1">
      <alignment horizontal="center" vertical="center"/>
    </xf>
    <xf borderId="5" fillId="13" fontId="4" numFmtId="10" xfId="0" applyAlignment="1" applyBorder="1" applyFont="1" applyNumberFormat="1">
      <alignment horizontal="center" vertical="center"/>
    </xf>
    <xf borderId="17" fillId="16" fontId="7" numFmtId="0" xfId="0" applyAlignment="1" applyBorder="1" applyFill="1" applyFont="1">
      <alignment horizontal="center" shrinkToFit="0" vertical="center" wrapText="1"/>
    </xf>
    <xf borderId="37" fillId="5" fontId="13" numFmtId="0" xfId="0" applyAlignment="1" applyBorder="1" applyFont="1">
      <alignment horizontal="center" shrinkToFit="0" vertical="center" wrapText="1"/>
    </xf>
    <xf borderId="38" fillId="5" fontId="9" numFmtId="0" xfId="0" applyBorder="1" applyFont="1"/>
    <xf borderId="5" fillId="16" fontId="7" numFmtId="0" xfId="0" applyAlignment="1" applyBorder="1" applyFont="1">
      <alignment horizontal="center" shrinkToFit="0" vertical="center" wrapText="1"/>
    </xf>
    <xf borderId="38" fillId="5" fontId="9" numFmtId="164" xfId="0" applyBorder="1" applyFont="1" applyNumberFormat="1"/>
    <xf borderId="39" fillId="5" fontId="12" numFmtId="0" xfId="0" applyAlignment="1" applyBorder="1" applyFont="1">
      <alignment horizontal="center" vertical="center"/>
    </xf>
    <xf borderId="40" fillId="0" fontId="3" numFmtId="0" xfId="0" applyBorder="1" applyFont="1"/>
    <xf borderId="38" fillId="5" fontId="9" numFmtId="0" xfId="0" applyAlignment="1" applyBorder="1" applyFont="1">
      <alignment horizontal="center" vertical="center"/>
    </xf>
    <xf borderId="41" fillId="0" fontId="3" numFmtId="0" xfId="0" applyBorder="1" applyFont="1"/>
    <xf borderId="19" fillId="16" fontId="2" numFmtId="164" xfId="0" applyAlignment="1" applyBorder="1" applyFont="1" applyNumberFormat="1">
      <alignment horizontal="center" vertical="center"/>
    </xf>
    <xf borderId="39" fillId="5" fontId="9" numFmtId="0" xfId="0" applyAlignment="1" applyBorder="1" applyFont="1">
      <alignment horizontal="center" vertical="center"/>
    </xf>
    <xf borderId="42" fillId="5" fontId="9" numFmtId="0" xfId="0" applyBorder="1" applyFont="1"/>
    <xf borderId="42" fillId="5" fontId="9" numFmtId="164" xfId="0" applyBorder="1" applyFont="1" applyNumberFormat="1"/>
    <xf borderId="43" fillId="0" fontId="3" numFmtId="0" xfId="0" applyBorder="1" applyFont="1"/>
    <xf borderId="42" fillId="5" fontId="9" numFmtId="0" xfId="0" applyAlignment="1" applyBorder="1" applyFont="1">
      <alignment horizontal="center" vertical="center"/>
    </xf>
    <xf borderId="44" fillId="5" fontId="4" numFmtId="0" xfId="0" applyBorder="1" applyFont="1"/>
    <xf borderId="44" fillId="5" fontId="4" numFmtId="164" xfId="0" applyBorder="1" applyFont="1" applyNumberFormat="1"/>
    <xf borderId="4" fillId="5" fontId="9" numFmtId="164" xfId="0" applyBorder="1" applyFont="1" applyNumberFormat="1"/>
    <xf borderId="4" fillId="5" fontId="9" numFmtId="10" xfId="0" applyBorder="1" applyFont="1" applyNumberFormat="1"/>
    <xf borderId="45" fillId="5" fontId="7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7" fillId="0" fontId="3" numFmtId="0" xfId="0" applyBorder="1" applyFont="1"/>
    <xf borderId="19" fillId="15" fontId="4" numFmtId="9" xfId="0" applyAlignment="1" applyBorder="1" applyFont="1" applyNumberFormat="1">
      <alignment horizontal="center" vertical="center"/>
    </xf>
    <xf borderId="4" fillId="5" fontId="9" numFmtId="10" xfId="0" applyAlignment="1" applyBorder="1" applyFont="1" applyNumberFormat="1">
      <alignment horizontal="center" vertical="center"/>
    </xf>
    <xf borderId="4" fillId="5" fontId="9" numFmtId="170" xfId="0" applyAlignment="1" applyBorder="1" applyFont="1" applyNumberFormat="1">
      <alignment horizontal="center" vertical="center"/>
    </xf>
    <xf borderId="4" fillId="5" fontId="14" numFmtId="0" xfId="0" applyBorder="1" applyFont="1"/>
    <xf borderId="4" fillId="5" fontId="14" numFmtId="0" xfId="0" applyAlignment="1" applyBorder="1" applyFont="1">
      <alignment horizontal="center" vertical="center"/>
    </xf>
    <xf borderId="48" fillId="0" fontId="3" numFmtId="0" xfId="0" applyBorder="1" applyFont="1"/>
    <xf borderId="49" fillId="0" fontId="3" numFmtId="0" xfId="0" applyBorder="1" applyFont="1"/>
    <xf borderId="26" fillId="5" fontId="15" numFmtId="0" xfId="0" applyAlignment="1" applyBorder="1" applyFont="1">
      <alignment horizontal="center" vertical="center"/>
    </xf>
    <xf borderId="50" fillId="7" fontId="15" numFmtId="0" xfId="0" applyAlignment="1" applyBorder="1" applyFont="1">
      <alignment horizontal="center"/>
    </xf>
    <xf borderId="51" fillId="0" fontId="3" numFmtId="0" xfId="0" applyBorder="1" applyFont="1"/>
    <xf borderId="52" fillId="0" fontId="3" numFmtId="0" xfId="0" applyBorder="1" applyFont="1"/>
    <xf borderId="50" fillId="16" fontId="15" numFmtId="0" xfId="0" applyAlignment="1" applyBorder="1" applyFont="1">
      <alignment horizontal="center"/>
    </xf>
    <xf borderId="34" fillId="7" fontId="15" numFmtId="0" xfId="0" applyAlignment="1" applyBorder="1" applyFont="1">
      <alignment horizontal="center" shrinkToFit="0" vertical="center" wrapText="1"/>
    </xf>
    <xf borderId="34" fillId="16" fontId="15" numFmtId="0" xfId="0" applyAlignment="1" applyBorder="1" applyFont="1">
      <alignment horizontal="center" shrinkToFit="0" vertical="center" wrapText="1"/>
    </xf>
    <xf borderId="36" fillId="5" fontId="14" numFmtId="0" xfId="0" applyAlignment="1" applyBorder="1" applyFont="1">
      <alignment horizontal="center" shrinkToFit="0" vertical="center" wrapText="1"/>
    </xf>
    <xf borderId="40" fillId="0" fontId="14" numFmtId="164" xfId="0" applyAlignment="1" applyBorder="1" applyFont="1" applyNumberFormat="1">
      <alignment horizontal="center" shrinkToFit="0" vertical="center" wrapText="1"/>
    </xf>
    <xf borderId="36" fillId="5" fontId="14" numFmtId="171" xfId="0" applyAlignment="1" applyBorder="1" applyFont="1" applyNumberFormat="1">
      <alignment horizontal="center" shrinkToFit="0" vertical="center" wrapText="1"/>
    </xf>
    <xf borderId="36" fillId="5" fontId="14" numFmtId="0" xfId="0" applyAlignment="1" applyBorder="1" applyFont="1">
      <alignment horizontal="center" vertical="center"/>
    </xf>
    <xf borderId="53" fillId="5" fontId="14" numFmtId="0" xfId="0" applyAlignment="1" applyBorder="1" applyFont="1">
      <alignment horizontal="center" shrinkToFit="0" vertical="center" wrapText="1"/>
    </xf>
    <xf borderId="53" fillId="0" fontId="14" numFmtId="164" xfId="0" applyAlignment="1" applyBorder="1" applyFont="1" applyNumberFormat="1">
      <alignment horizontal="center" shrinkToFit="0" vertical="center" wrapText="1"/>
    </xf>
    <xf borderId="53" fillId="5" fontId="14" numFmtId="171" xfId="0" applyAlignment="1" applyBorder="1" applyFont="1" applyNumberFormat="1">
      <alignment horizontal="center" shrinkToFit="0" vertical="center" wrapText="1"/>
    </xf>
    <xf borderId="53" fillId="5" fontId="14" numFmtId="0" xfId="0" applyAlignment="1" applyBorder="1" applyFont="1">
      <alignment horizontal="center" vertical="center"/>
    </xf>
    <xf borderId="38" fillId="5" fontId="14" numFmtId="0" xfId="0" applyAlignment="1" applyBorder="1" applyFont="1">
      <alignment horizontal="center" shrinkToFit="0" vertical="center" wrapText="1"/>
    </xf>
    <xf borderId="38" fillId="0" fontId="14" numFmtId="164" xfId="0" applyAlignment="1" applyBorder="1" applyFont="1" applyNumberFormat="1">
      <alignment horizontal="center" shrinkToFit="0" vertical="center" wrapText="1"/>
    </xf>
    <xf borderId="38" fillId="5" fontId="14" numFmtId="171" xfId="0" applyAlignment="1" applyBorder="1" applyFont="1" applyNumberFormat="1">
      <alignment horizontal="center" shrinkToFit="0" vertical="center" wrapText="1"/>
    </xf>
    <xf borderId="38" fillId="5" fontId="14" numFmtId="0" xfId="0" applyAlignment="1" applyBorder="1" applyFont="1">
      <alignment horizontal="center" vertical="center"/>
    </xf>
    <xf borderId="5" fillId="12" fontId="4" numFmtId="0" xfId="0" applyAlignment="1" applyBorder="1" applyFont="1">
      <alignment horizontal="center" vertical="center"/>
    </xf>
    <xf borderId="54" fillId="5" fontId="4" numFmtId="0" xfId="0" applyAlignment="1" applyBorder="1" applyFont="1">
      <alignment horizontal="left" shrinkToFit="0" vertical="center" wrapText="1"/>
    </xf>
    <xf borderId="55" fillId="0" fontId="3" numFmtId="0" xfId="0" applyBorder="1" applyFont="1"/>
    <xf borderId="4" fillId="5" fontId="4" numFmtId="0" xfId="0" applyAlignment="1" applyBorder="1" applyFont="1">
      <alignment horizontal="left" vertical="center"/>
    </xf>
    <xf borderId="56" fillId="0" fontId="3" numFmtId="0" xfId="0" applyBorder="1" applyFont="1"/>
    <xf borderId="0" fillId="0" fontId="4" numFmtId="10" xfId="0" applyFont="1" applyNumberFormat="1"/>
    <xf borderId="0" fillId="0" fontId="4" numFmtId="170" xfId="0" applyFont="1" applyNumberFormat="1"/>
    <xf borderId="1" fillId="0" fontId="16" numFmtId="0" xfId="0" applyAlignment="1" applyBorder="1" applyFont="1">
      <alignment horizontal="center" vertical="bottom"/>
    </xf>
    <xf borderId="10" fillId="0" fontId="17" numFmtId="0" xfId="0" applyAlignment="1" applyBorder="1" applyFont="1">
      <alignment vertical="bottom"/>
    </xf>
    <xf borderId="11" fillId="0" fontId="18" numFmtId="0" xfId="0" applyAlignment="1" applyBorder="1" applyFont="1">
      <alignment vertical="bottom"/>
    </xf>
    <xf borderId="11" fillId="0" fontId="17" numFmtId="0" xfId="0" applyAlignment="1" applyBorder="1" applyFont="1">
      <alignment vertical="bottom"/>
    </xf>
    <xf borderId="25" fillId="0" fontId="17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vertical="bottom"/>
    </xf>
    <xf borderId="14" fillId="0" fontId="17" numFmtId="0" xfId="0" applyAlignment="1" applyBorder="1" applyFont="1">
      <alignment vertical="bottom"/>
    </xf>
    <xf borderId="15" fillId="0" fontId="18" numFmtId="0" xfId="0" applyAlignment="1" applyBorder="1" applyFont="1">
      <alignment vertical="bottom"/>
    </xf>
    <xf borderId="15" fillId="0" fontId="17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13" fontId="19" numFmtId="0" xfId="0" applyAlignment="1" applyBorder="1" applyFont="1">
      <alignment readingOrder="0" vertical="bottom"/>
    </xf>
    <xf borderId="5" fillId="0" fontId="20" numFmtId="0" xfId="0" applyAlignment="1" applyBorder="1" applyFont="1">
      <alignment readingOrder="0" vertical="bottom"/>
    </xf>
    <xf borderId="5" fillId="0" fontId="21" numFmtId="0" xfId="0" applyAlignment="1" applyBorder="1" applyFont="1">
      <alignment readingOrder="0" vertical="bottom"/>
    </xf>
    <xf borderId="5" fillId="13" fontId="22" numFmtId="0" xfId="0" applyAlignment="1" applyBorder="1" applyFont="1">
      <alignment readingOrder="0" vertical="bottom"/>
    </xf>
    <xf borderId="0" fillId="0" fontId="23" numFmtId="0" xfId="0" applyAlignment="1" applyFont="1">
      <alignment vertical="bottom"/>
    </xf>
    <xf borderId="38" fillId="5" fontId="14" numFmtId="164" xfId="0" applyAlignment="1" applyBorder="1" applyFont="1" applyNumberFormat="1">
      <alignment horizontal="center" shrinkToFit="0" vertical="center" wrapText="1"/>
    </xf>
    <xf borderId="42" fillId="5" fontId="14" numFmtId="0" xfId="0" applyAlignment="1" applyBorder="1" applyFont="1">
      <alignment horizontal="center" shrinkToFit="0" vertical="center" wrapText="1"/>
    </xf>
    <xf borderId="42" fillId="0" fontId="14" numFmtId="164" xfId="0" applyAlignment="1" applyBorder="1" applyFont="1" applyNumberFormat="1">
      <alignment horizontal="center" shrinkToFit="0" vertical="center" wrapText="1"/>
    </xf>
    <xf borderId="42" fillId="5" fontId="14" numFmtId="171" xfId="0" applyAlignment="1" applyBorder="1" applyFont="1" applyNumberFormat="1">
      <alignment horizontal="center" shrinkToFit="0" vertical="center" wrapText="1"/>
    </xf>
    <xf borderId="42" fillId="5" fontId="14" numFmtId="0" xfId="0" applyAlignment="1" applyBorder="1" applyFont="1">
      <alignment horizontal="center" vertical="center"/>
    </xf>
    <xf borderId="38" fillId="5" fontId="14" numFmtId="0" xfId="0" applyAlignment="1" applyBorder="1" applyFont="1">
      <alignment horizontal="center" shrinkToFit="0" wrapText="1"/>
    </xf>
    <xf borderId="38" fillId="0" fontId="14" numFmtId="0" xfId="0" applyAlignment="1" applyBorder="1" applyFont="1">
      <alignment horizontal="center" shrinkToFit="0" wrapText="1"/>
    </xf>
    <xf borderId="38" fillId="15" fontId="14" numFmtId="0" xfId="0" applyAlignment="1" applyBorder="1" applyFont="1">
      <alignment horizontal="center" shrinkToFit="0" wrapText="1"/>
    </xf>
    <xf borderId="38" fillId="15" fontId="14" numFmtId="164" xfId="0" applyAlignment="1" applyBorder="1" applyFont="1" applyNumberFormat="1">
      <alignment horizontal="center" shrinkToFit="0" vertical="center" wrapText="1"/>
    </xf>
    <xf borderId="42" fillId="5" fontId="14" numFmtId="0" xfId="0" applyAlignment="1" applyBorder="1" applyFont="1">
      <alignment horizontal="center" shrinkToFit="0" wrapText="1"/>
    </xf>
    <xf borderId="42" fillId="5" fontId="14" numFmtId="164" xfId="0" applyAlignment="1" applyBorder="1" applyFont="1" applyNumberFormat="1">
      <alignment horizontal="center" shrinkToFit="0" vertical="center" wrapText="1"/>
    </xf>
    <xf borderId="4" fillId="5" fontId="14" numFmtId="170" xfId="0" applyAlignment="1" applyBorder="1" applyFont="1" applyNumberFormat="1">
      <alignment horizontal="center" vertical="center"/>
    </xf>
    <xf borderId="17" fillId="3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19" fillId="3" fontId="2" numFmtId="164" xfId="0" applyAlignment="1" applyBorder="1" applyFont="1" applyNumberFormat="1">
      <alignment horizontal="center" vertical="center"/>
    </xf>
    <xf borderId="5" fillId="15" fontId="4" numFmtId="10" xfId="0" applyAlignment="1" applyBorder="1" applyFont="1" applyNumberFormat="1">
      <alignment horizontal="center" vertical="center"/>
    </xf>
    <xf borderId="50" fillId="17" fontId="24" numFmtId="0" xfId="0" applyAlignment="1" applyBorder="1" applyFill="1" applyFont="1">
      <alignment horizontal="center" shrinkToFit="0" vertical="center" wrapText="1"/>
    </xf>
    <xf borderId="57" fillId="18" fontId="25" numFmtId="0" xfId="0" applyAlignment="1" applyBorder="1" applyFill="1" applyFont="1">
      <alignment horizontal="center" vertical="center"/>
    </xf>
    <xf borderId="58" fillId="0" fontId="3" numFmtId="0" xfId="0" applyBorder="1" applyFont="1"/>
    <xf borderId="50" fillId="7" fontId="15" numFmtId="0" xfId="0" applyAlignment="1" applyBorder="1" applyFont="1">
      <alignment horizontal="center" shrinkToFit="0" vertical="center" wrapText="1"/>
    </xf>
    <xf borderId="50" fillId="7" fontId="2" numFmtId="0" xfId="0" applyAlignment="1" applyBorder="1" applyFont="1">
      <alignment horizontal="center"/>
    </xf>
    <xf borderId="59" fillId="7" fontId="15" numFmtId="0" xfId="0" applyAlignment="1" applyBorder="1" applyFont="1">
      <alignment horizontal="center" shrinkToFit="0" vertical="center" wrapText="1"/>
    </xf>
    <xf borderId="59" fillId="7" fontId="26" numFmtId="0" xfId="0" applyAlignment="1" applyBorder="1" applyFont="1">
      <alignment horizontal="center" shrinkToFit="0" vertical="center" wrapText="1"/>
    </xf>
    <xf borderId="59" fillId="7" fontId="2" numFmtId="0" xfId="0" applyAlignment="1" applyBorder="1" applyFont="1">
      <alignment horizontal="center" shrinkToFit="0" vertical="center" wrapText="1"/>
    </xf>
    <xf borderId="4" fillId="5" fontId="4" numFmtId="167" xfId="0" applyBorder="1" applyFont="1" applyNumberFormat="1"/>
    <xf borderId="36" fillId="5" fontId="14" numFmtId="172" xfId="0" applyAlignment="1" applyBorder="1" applyFont="1" applyNumberFormat="1">
      <alignment horizontal="center" shrinkToFit="0" vertical="center" wrapText="1"/>
    </xf>
    <xf borderId="34" fillId="0" fontId="14" numFmtId="0" xfId="0" applyAlignment="1" applyBorder="1" applyFont="1">
      <alignment horizontal="center" shrinkToFit="0" vertical="center" wrapText="1"/>
    </xf>
    <xf borderId="34" fillId="0" fontId="14" numFmtId="173" xfId="0" applyAlignment="1" applyBorder="1" applyFont="1" applyNumberFormat="1">
      <alignment horizontal="center" shrinkToFit="0" vertical="center" wrapText="1"/>
    </xf>
    <xf borderId="38" fillId="5" fontId="14" numFmtId="172" xfId="0" applyAlignment="1" applyBorder="1" applyFont="1" applyNumberFormat="1">
      <alignment horizontal="center" shrinkToFit="0" vertical="center" wrapText="1"/>
    </xf>
    <xf borderId="34" fillId="0" fontId="12" numFmtId="172" xfId="0" applyAlignment="1" applyBorder="1" applyFont="1" applyNumberFormat="1">
      <alignment horizontal="center" shrinkToFit="0" vertical="center" wrapText="1"/>
    </xf>
    <xf borderId="42" fillId="5" fontId="14" numFmtId="172" xfId="0" applyAlignment="1" applyBorder="1" applyFont="1" applyNumberFormat="1">
      <alignment horizontal="center" shrinkToFit="0" vertical="center" wrapText="1"/>
    </xf>
    <xf borderId="26" fillId="0" fontId="4" numFmtId="0" xfId="0" applyAlignment="1" applyBorder="1" applyFont="1">
      <alignment shrinkToFit="0" vertical="center" wrapText="1"/>
    </xf>
    <xf borderId="50" fillId="16" fontId="15" numFmtId="0" xfId="0" applyAlignment="1" applyBorder="1" applyFont="1">
      <alignment horizontal="center" shrinkToFit="0" vertical="center" wrapText="1"/>
    </xf>
    <xf borderId="50" fillId="16" fontId="2" numFmtId="0" xfId="0" applyAlignment="1" applyBorder="1" applyFont="1">
      <alignment horizontal="center" shrinkToFit="0" vertical="center" wrapText="1"/>
    </xf>
    <xf borderId="59" fillId="16" fontId="15" numFmtId="0" xfId="0" applyAlignment="1" applyBorder="1" applyFont="1">
      <alignment horizontal="center" shrinkToFit="0" vertical="center" wrapText="1"/>
    </xf>
    <xf borderId="59" fillId="16" fontId="26" numFmtId="0" xfId="0" applyAlignment="1" applyBorder="1" applyFont="1">
      <alignment horizontal="center" shrinkToFit="0" vertical="center" wrapText="1"/>
    </xf>
    <xf borderId="59" fillId="16" fontId="2" numFmtId="0" xfId="0" applyAlignment="1" applyBorder="1" applyFont="1">
      <alignment horizontal="center" shrinkToFit="0" vertical="center" wrapText="1"/>
    </xf>
    <xf borderId="53" fillId="5" fontId="14" numFmtId="172" xfId="0" applyAlignment="1" applyBorder="1" applyFont="1" applyNumberFormat="1">
      <alignment horizontal="center" shrinkToFit="0" vertical="center" wrapText="1"/>
    </xf>
    <xf borderId="34" fillId="0" fontId="14" numFmtId="168" xfId="0" applyAlignment="1" applyBorder="1" applyFont="1" applyNumberFormat="1">
      <alignment horizontal="center" shrinkToFit="0" vertical="center" wrapText="1"/>
    </xf>
    <xf borderId="34" fillId="0" fontId="12" numFmtId="0" xfId="0" applyAlignment="1" applyBorder="1" applyFont="1">
      <alignment horizontal="center" shrinkToFit="0" vertical="center" wrapText="1"/>
    </xf>
    <xf borderId="50" fillId="4" fontId="15" numFmtId="0" xfId="0" applyAlignment="1" applyBorder="1" applyFont="1">
      <alignment horizontal="center" shrinkToFit="0" vertical="center" wrapText="1"/>
    </xf>
    <xf borderId="59" fillId="4" fontId="15" numFmtId="0" xfId="0" applyAlignment="1" applyBorder="1" applyFont="1">
      <alignment horizontal="center" shrinkToFit="0" vertical="center" wrapText="1"/>
    </xf>
    <xf borderId="34" fillId="4" fontId="15" numFmtId="0" xfId="0" applyAlignment="1" applyBorder="1" applyFont="1">
      <alignment horizontal="center" shrinkToFit="0" vertical="center" wrapText="1"/>
    </xf>
    <xf borderId="50" fillId="3" fontId="15" numFmtId="0" xfId="0" applyAlignment="1" applyBorder="1" applyFont="1">
      <alignment horizontal="center" shrinkToFit="0" vertical="center" wrapText="1"/>
    </xf>
    <xf borderId="59" fillId="3" fontId="15" numFmtId="0" xfId="0" applyAlignment="1" applyBorder="1" applyFont="1">
      <alignment horizontal="center" shrinkToFit="0" vertical="center" wrapText="1"/>
    </xf>
    <xf borderId="34" fillId="3" fontId="15" numFmtId="0" xfId="0" applyAlignment="1" applyBorder="1" applyFont="1">
      <alignment horizontal="center" shrinkToFit="0" vertical="center" wrapText="1"/>
    </xf>
    <xf borderId="50" fillId="0" fontId="16" numFmtId="0" xfId="0" applyAlignment="1" applyBorder="1" applyFont="1">
      <alignment horizontal="center" shrinkToFit="0" vertical="center" wrapText="1"/>
    </xf>
    <xf borderId="59" fillId="0" fontId="16" numFmtId="0" xfId="0" applyAlignment="1" applyBorder="1" applyFont="1">
      <alignment horizontal="center" shrinkToFit="0" vertical="center" wrapText="1"/>
    </xf>
    <xf borderId="50" fillId="0" fontId="16" numFmtId="0" xfId="0" applyAlignment="1" applyBorder="1" applyFont="1">
      <alignment horizontal="center" shrinkToFit="0" wrapText="1"/>
    </xf>
    <xf borderId="50" fillId="0" fontId="16" numFmtId="174" xfId="0" applyAlignment="1" applyBorder="1" applyFont="1" applyNumberFormat="1">
      <alignment horizontal="center" vertical="center"/>
    </xf>
    <xf borderId="34" fillId="0" fontId="16" numFmtId="174" xfId="0" applyAlignment="1" applyBorder="1" applyFont="1" applyNumberFormat="1">
      <alignment horizontal="center" vertical="center"/>
    </xf>
    <xf borderId="50" fillId="0" fontId="16" numFmtId="0" xfId="0" applyAlignment="1" applyBorder="1" applyFont="1">
      <alignment horizontal="center" vertical="center"/>
    </xf>
    <xf borderId="34" fillId="0" fontId="17" numFmtId="171" xfId="0" applyAlignment="1" applyBorder="1" applyFont="1" applyNumberFormat="1">
      <alignment horizontal="center" shrinkToFit="0" vertical="center" wrapText="1"/>
    </xf>
    <xf borderId="50" fillId="0" fontId="16" numFmtId="174" xfId="0" applyAlignment="1" applyBorder="1" applyFont="1" applyNumberForma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11" fontId="7" numFmtId="0" xfId="0" applyAlignment="1" applyBorder="1" applyFont="1">
      <alignment horizontal="center" shrinkToFit="0" vertical="center" wrapText="1"/>
    </xf>
    <xf borderId="5" fillId="0" fontId="4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ttps:\idiomassmart-my.sharepoint.com\Users\Hp\Documents\Gerencia%20MyV\Tarifas\2016\TARIFAS%202016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er/Desktop/Tarifas%20club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nerador"/>
      <sheetName val="Tablas"/>
      <sheetName val="Analisis"/>
      <sheetName val="TARIFAS 2016"/>
      <sheetName val="EMPRESARIAL PERSONALIZADO 1"/>
      <sheetName val="EMPRESARIAL PERSONALIZADO 2"/>
      <sheetName val="EMPRESARIAL PERSONALIZADO 3"/>
    </sheetNames>
    <sheetDataSet>
      <sheetData sheetId="0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ustomization-computing-5922.lightning.force.com/lightning/r/701WP00000jb5h6YAA/view" TargetMode="External"/><Relationship Id="rId2" Type="http://schemas.openxmlformats.org/officeDocument/2006/relationships/hyperlink" Target="https://customization-computing-5922.lightning.force.com/lightning/r/701WP00000jb5h6YAA/view" TargetMode="External"/><Relationship Id="rId3" Type="http://schemas.openxmlformats.org/officeDocument/2006/relationships/hyperlink" Target="https://customization-computing-5922.lightning.force.com/lightning/r/701WP00000jcLr8YAE/view" TargetMode="External"/><Relationship Id="rId4" Type="http://schemas.openxmlformats.org/officeDocument/2006/relationships/hyperlink" Target="https://customization-computing-5922.lightning.force.com/lightning/r/701WP00000jcLr8YAE/view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customization-computing-5922.lightning.force.com/lightning/r/701WP00001H1bXtYAJ/view" TargetMode="External"/><Relationship Id="rId9" Type="http://schemas.openxmlformats.org/officeDocument/2006/relationships/hyperlink" Target="https://customization-computing-5922.lightning.force.com/lightning/r/701WP00001H1bXtYAJ/view" TargetMode="External"/><Relationship Id="rId5" Type="http://schemas.openxmlformats.org/officeDocument/2006/relationships/hyperlink" Target="https://customization-computing-5922.lightning.force.com/lightning/r/701WP00000jcJfnYAE/view" TargetMode="External"/><Relationship Id="rId6" Type="http://schemas.openxmlformats.org/officeDocument/2006/relationships/hyperlink" Target="https://customization-computing-5922.lightning.force.com/lightning/r/701WP00000jcJfnYAE/view" TargetMode="External"/><Relationship Id="rId7" Type="http://schemas.openxmlformats.org/officeDocument/2006/relationships/hyperlink" Target="https://customization-computing-5922.lightning.force.com/lightning/r/701WP00000jayqLYAQ/view" TargetMode="External"/><Relationship Id="rId8" Type="http://schemas.openxmlformats.org/officeDocument/2006/relationships/hyperlink" Target="https://customization-computing-5922.lightning.force.com/lightning/r/701WP00000jayqLYAQ/view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2HqMaMic7_AarZcQqs4PZM9Uu34qmqEp1RHP9H9mXY/edit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2.29"/>
    <col customWidth="1" min="3" max="3" width="12.71"/>
    <col customWidth="1" min="4" max="4" width="20.71"/>
    <col customWidth="1" min="5" max="5" width="12.29"/>
    <col customWidth="1" min="6" max="7" width="14.86"/>
  </cols>
  <sheetData>
    <row r="1" ht="14.25" customHeight="1">
      <c r="A1" s="1" t="s">
        <v>1</v>
      </c>
      <c r="B1" s="3">
        <v>0.05</v>
      </c>
      <c r="F1" s="6"/>
    </row>
    <row r="2" ht="14.25" customHeight="1">
      <c r="A2" s="7"/>
      <c r="B2" s="7">
        <v>2025.0</v>
      </c>
      <c r="C2" s="7">
        <v>2026.0</v>
      </c>
      <c r="D2" s="9" t="s">
        <v>3</v>
      </c>
      <c r="E2" s="7" t="s">
        <v>4</v>
      </c>
      <c r="F2" s="7" t="s">
        <v>5</v>
      </c>
      <c r="G2" s="7" t="s">
        <v>6</v>
      </c>
    </row>
    <row r="3" ht="14.25" customHeight="1">
      <c r="A3" s="7" t="s">
        <v>8</v>
      </c>
      <c r="B3" s="10">
        <v>2104000.0</v>
      </c>
      <c r="C3" s="18">
        <f t="shared" ref="C3:C5" si="1">+B3+(B3*$D$3)</f>
        <v>2209200</v>
      </c>
      <c r="D3" s="19">
        <v>0.05</v>
      </c>
      <c r="E3" s="10">
        <f t="shared" ref="E3:E5" si="2">CEILING(C3,1000)</f>
        <v>2210000</v>
      </c>
      <c r="F3" s="23">
        <f t="shared" ref="F3:F5" si="3">+(E3-B3)/B3</f>
        <v>0.05038022814</v>
      </c>
      <c r="G3" s="10">
        <f t="shared" ref="G3:G5" si="4">+E3-B3</f>
        <v>106000</v>
      </c>
    </row>
    <row r="4" ht="14.25" customHeight="1">
      <c r="A4" s="7" t="s">
        <v>15</v>
      </c>
      <c r="B4" s="10">
        <v>3156000.0</v>
      </c>
      <c r="C4" s="18">
        <f t="shared" si="1"/>
        <v>3313800</v>
      </c>
      <c r="E4" s="10">
        <f t="shared" si="2"/>
        <v>3314000</v>
      </c>
      <c r="F4" s="23">
        <f t="shared" si="3"/>
        <v>0.05006337136</v>
      </c>
      <c r="G4" s="10">
        <f t="shared" si="4"/>
        <v>158000</v>
      </c>
    </row>
    <row r="5" ht="14.25" customHeight="1">
      <c r="A5" s="7" t="s">
        <v>17</v>
      </c>
      <c r="B5" s="10">
        <v>4208000.0</v>
      </c>
      <c r="C5" s="18">
        <f t="shared" si="1"/>
        <v>4418400</v>
      </c>
      <c r="E5" s="10">
        <f t="shared" si="2"/>
        <v>4419000</v>
      </c>
      <c r="F5" s="23">
        <f t="shared" si="3"/>
        <v>0.05014258555</v>
      </c>
      <c r="G5" s="10">
        <f t="shared" si="4"/>
        <v>211000</v>
      </c>
    </row>
    <row r="6" ht="14.25" customHeight="1">
      <c r="A6" s="7"/>
      <c r="F6" s="6"/>
    </row>
    <row r="7" ht="14.25" customHeight="1">
      <c r="A7" s="7" t="s">
        <v>18</v>
      </c>
      <c r="B7" s="10">
        <v>357700.0</v>
      </c>
      <c r="C7" s="18">
        <f t="shared" ref="C7:C11" si="5">+B7+(B7*$D$7)</f>
        <v>375585</v>
      </c>
      <c r="D7" s="19">
        <v>0.05</v>
      </c>
      <c r="E7" s="10">
        <f t="shared" ref="E7:E11" si="6">CEILING(C7,100)</f>
        <v>375600</v>
      </c>
      <c r="F7" s="23">
        <f t="shared" ref="F7:F11" si="7">+(E7-B7)/B7</f>
        <v>0.05004193458</v>
      </c>
      <c r="G7" s="10">
        <f t="shared" ref="G7:G11" si="8">+E7-B7</f>
        <v>17900</v>
      </c>
    </row>
    <row r="8" ht="14.25" customHeight="1">
      <c r="A8" s="7" t="s">
        <v>20</v>
      </c>
      <c r="B8" s="10">
        <v>549200.0</v>
      </c>
      <c r="C8" s="18">
        <f t="shared" si="5"/>
        <v>576660</v>
      </c>
      <c r="E8" s="10">
        <f t="shared" si="6"/>
        <v>576700</v>
      </c>
      <c r="F8" s="23">
        <f t="shared" si="7"/>
        <v>0.05007283321</v>
      </c>
      <c r="G8" s="10">
        <f t="shared" si="8"/>
        <v>27500</v>
      </c>
    </row>
    <row r="9" ht="14.25" customHeight="1">
      <c r="A9" s="7" t="s">
        <v>24</v>
      </c>
      <c r="B9" s="10">
        <v>549200.0</v>
      </c>
      <c r="C9" s="18">
        <f t="shared" si="5"/>
        <v>576660</v>
      </c>
      <c r="E9" s="10">
        <f t="shared" si="6"/>
        <v>576700</v>
      </c>
      <c r="F9" s="23">
        <f t="shared" si="7"/>
        <v>0.05007283321</v>
      </c>
      <c r="G9" s="10">
        <f t="shared" si="8"/>
        <v>27500</v>
      </c>
    </row>
    <row r="10" ht="14.25" customHeight="1">
      <c r="A10" s="7" t="s">
        <v>25</v>
      </c>
      <c r="B10" s="10">
        <v>755400.0</v>
      </c>
      <c r="C10" s="18">
        <f t="shared" si="5"/>
        <v>793170</v>
      </c>
      <c r="E10" s="10">
        <f t="shared" si="6"/>
        <v>793200</v>
      </c>
      <c r="F10" s="23">
        <f t="shared" si="7"/>
        <v>0.05003971406</v>
      </c>
      <c r="G10" s="10">
        <f t="shared" si="8"/>
        <v>37800</v>
      </c>
    </row>
    <row r="11" ht="14.25" customHeight="1">
      <c r="A11" s="7" t="s">
        <v>27</v>
      </c>
      <c r="B11" s="10">
        <v>823800.0</v>
      </c>
      <c r="C11" s="18">
        <f t="shared" si="5"/>
        <v>864990</v>
      </c>
      <c r="E11" s="10">
        <f t="shared" si="6"/>
        <v>865000</v>
      </c>
      <c r="F11" s="23">
        <f t="shared" si="7"/>
        <v>0.05001213887</v>
      </c>
      <c r="G11" s="10">
        <f t="shared" si="8"/>
        <v>41200</v>
      </c>
    </row>
    <row r="12" ht="14.25" customHeight="1">
      <c r="A12" s="7"/>
      <c r="F12" s="6"/>
    </row>
    <row r="13" ht="14.25" customHeight="1">
      <c r="A13" s="7"/>
      <c r="F13" s="6"/>
    </row>
    <row r="14" ht="14.25" customHeight="1">
      <c r="A14" s="7"/>
      <c r="F14" s="6"/>
    </row>
    <row r="15" ht="14.25" customHeight="1">
      <c r="A15" s="7"/>
      <c r="F15" s="6"/>
    </row>
    <row r="16" ht="14.25" customHeight="1">
      <c r="A16" s="7"/>
      <c r="F16" s="6"/>
    </row>
    <row r="17" ht="14.25" customHeight="1">
      <c r="A17" s="7"/>
      <c r="F17" s="6"/>
    </row>
    <row r="18" ht="14.25" customHeight="1">
      <c r="A18" s="7"/>
      <c r="F18" s="6"/>
    </row>
    <row r="19" ht="14.25" customHeight="1">
      <c r="A19" s="7"/>
      <c r="F19" s="6"/>
    </row>
    <row r="20" ht="14.25" customHeight="1">
      <c r="A20" s="7"/>
      <c r="F20" s="6"/>
    </row>
    <row r="21" ht="14.25" customHeight="1">
      <c r="A21" s="7"/>
      <c r="F21" s="6"/>
    </row>
    <row r="22" ht="14.25" customHeight="1">
      <c r="A22" s="7"/>
      <c r="F22" s="6"/>
    </row>
    <row r="23" ht="14.25" customHeight="1">
      <c r="A23" s="7"/>
      <c r="F23" s="6"/>
    </row>
    <row r="24" ht="14.25" customHeight="1">
      <c r="A24" s="7"/>
      <c r="F24" s="6"/>
    </row>
    <row r="25" ht="14.25" customHeight="1">
      <c r="A25" s="7"/>
      <c r="F25" s="6"/>
    </row>
    <row r="26" ht="14.25" customHeight="1">
      <c r="A26" s="7"/>
      <c r="F26" s="6"/>
    </row>
    <row r="27" ht="14.25" customHeight="1">
      <c r="A27" s="7"/>
      <c r="F27" s="6"/>
    </row>
    <row r="28" ht="14.25" customHeight="1">
      <c r="A28" s="7"/>
      <c r="F28" s="6"/>
    </row>
    <row r="29" ht="14.25" customHeight="1">
      <c r="A29" s="7"/>
      <c r="F29" s="6"/>
    </row>
    <row r="30" ht="14.25" customHeight="1">
      <c r="A30" s="7"/>
      <c r="F30" s="6"/>
    </row>
    <row r="31" ht="14.25" customHeight="1">
      <c r="A31" s="7"/>
      <c r="F31" s="6"/>
    </row>
    <row r="32" ht="14.25" customHeight="1">
      <c r="A32" s="7"/>
      <c r="F32" s="6"/>
    </row>
    <row r="33" ht="14.25" customHeight="1">
      <c r="A33" s="7"/>
      <c r="F33" s="6"/>
    </row>
    <row r="34" ht="14.25" customHeight="1">
      <c r="A34" s="7"/>
      <c r="F34" s="6"/>
    </row>
    <row r="35" ht="14.25" customHeight="1">
      <c r="A35" s="7"/>
      <c r="F35" s="6"/>
    </row>
    <row r="36" ht="14.25" customHeight="1">
      <c r="A36" s="7"/>
      <c r="F36" s="6"/>
    </row>
    <row r="37" ht="14.25" customHeight="1">
      <c r="A37" s="7"/>
      <c r="F37" s="6"/>
    </row>
    <row r="38" ht="14.25" customHeight="1">
      <c r="A38" s="7"/>
      <c r="F38" s="6"/>
    </row>
    <row r="39" ht="14.25" customHeight="1">
      <c r="A39" s="7"/>
      <c r="F39" s="6"/>
    </row>
    <row r="40" ht="14.25" customHeight="1">
      <c r="A40" s="7"/>
      <c r="F40" s="6"/>
    </row>
    <row r="41" ht="14.25" customHeight="1">
      <c r="A41" s="7"/>
      <c r="F41" s="6"/>
    </row>
    <row r="42" ht="14.25" customHeight="1">
      <c r="A42" s="7"/>
      <c r="F42" s="6"/>
    </row>
    <row r="43" ht="14.25" customHeight="1">
      <c r="A43" s="7"/>
      <c r="F43" s="6"/>
    </row>
    <row r="44" ht="14.25" customHeight="1">
      <c r="A44" s="7"/>
      <c r="F44" s="6"/>
    </row>
    <row r="45" ht="14.25" customHeight="1">
      <c r="A45" s="7"/>
      <c r="F45" s="6"/>
    </row>
    <row r="46" ht="14.25" customHeight="1">
      <c r="A46" s="7"/>
      <c r="F46" s="6"/>
    </row>
    <row r="47" ht="14.25" customHeight="1">
      <c r="A47" s="7"/>
      <c r="F47" s="6"/>
    </row>
    <row r="48" ht="14.25" customHeight="1">
      <c r="A48" s="7"/>
      <c r="F48" s="6"/>
    </row>
    <row r="49" ht="14.25" customHeight="1">
      <c r="A49" s="7"/>
      <c r="F49" s="6"/>
    </row>
    <row r="50" ht="14.25" customHeight="1">
      <c r="A50" s="7"/>
      <c r="F50" s="6"/>
    </row>
    <row r="51" ht="14.25" customHeight="1">
      <c r="A51" s="7"/>
      <c r="F51" s="6"/>
    </row>
    <row r="52" ht="14.25" customHeight="1">
      <c r="A52" s="7"/>
      <c r="F52" s="6"/>
    </row>
    <row r="53" ht="14.25" customHeight="1">
      <c r="A53" s="7"/>
      <c r="F53" s="6"/>
    </row>
    <row r="54" ht="14.25" customHeight="1">
      <c r="A54" s="7"/>
      <c r="F54" s="6"/>
    </row>
    <row r="55" ht="14.25" customHeight="1">
      <c r="A55" s="7"/>
      <c r="F55" s="6"/>
    </row>
    <row r="56" ht="14.25" customHeight="1">
      <c r="A56" s="7"/>
      <c r="F56" s="6"/>
    </row>
    <row r="57" ht="14.25" customHeight="1">
      <c r="A57" s="7"/>
      <c r="F57" s="6"/>
    </row>
    <row r="58" ht="14.25" customHeight="1">
      <c r="A58" s="7"/>
      <c r="F58" s="6"/>
    </row>
    <row r="59" ht="14.25" customHeight="1">
      <c r="A59" s="7"/>
      <c r="F59" s="6"/>
    </row>
    <row r="60" ht="14.25" customHeight="1">
      <c r="A60" s="7"/>
      <c r="F60" s="6"/>
    </row>
    <row r="61" ht="14.25" customHeight="1">
      <c r="A61" s="7"/>
      <c r="F61" s="6"/>
    </row>
    <row r="62" ht="14.25" customHeight="1">
      <c r="A62" s="7"/>
      <c r="F62" s="6"/>
    </row>
    <row r="63" ht="14.25" customHeight="1">
      <c r="A63" s="7"/>
      <c r="F63" s="6"/>
    </row>
    <row r="64" ht="14.25" customHeight="1">
      <c r="A64" s="7"/>
      <c r="F64" s="6"/>
    </row>
    <row r="65" ht="14.25" customHeight="1">
      <c r="A65" s="7"/>
      <c r="F65" s="6"/>
    </row>
    <row r="66" ht="14.25" customHeight="1">
      <c r="A66" s="7"/>
      <c r="F66" s="6"/>
    </row>
    <row r="67" ht="14.25" customHeight="1">
      <c r="A67" s="7"/>
      <c r="F67" s="6"/>
    </row>
    <row r="68" ht="14.25" customHeight="1">
      <c r="A68" s="7"/>
      <c r="F68" s="6"/>
    </row>
    <row r="69" ht="14.25" customHeight="1">
      <c r="A69" s="7"/>
      <c r="F69" s="6"/>
    </row>
    <row r="70" ht="14.25" customHeight="1">
      <c r="A70" s="7"/>
      <c r="F70" s="6"/>
    </row>
    <row r="71" ht="14.25" customHeight="1">
      <c r="A71" s="7"/>
      <c r="F71" s="6"/>
    </row>
    <row r="72" ht="14.25" customHeight="1">
      <c r="A72" s="7"/>
      <c r="F72" s="6"/>
    </row>
    <row r="73" ht="14.25" customHeight="1">
      <c r="A73" s="7"/>
      <c r="F73" s="6"/>
    </row>
    <row r="74" ht="14.25" customHeight="1">
      <c r="A74" s="7"/>
      <c r="F74" s="6"/>
    </row>
    <row r="75" ht="14.25" customHeight="1">
      <c r="A75" s="7"/>
      <c r="F75" s="6"/>
    </row>
    <row r="76" ht="14.25" customHeight="1">
      <c r="A76" s="7"/>
      <c r="F76" s="6"/>
    </row>
    <row r="77" ht="14.25" customHeight="1">
      <c r="A77" s="7"/>
      <c r="F77" s="6"/>
    </row>
    <row r="78" ht="14.25" customHeight="1">
      <c r="A78" s="7"/>
      <c r="F78" s="6"/>
    </row>
    <row r="79" ht="14.25" customHeight="1">
      <c r="A79" s="7"/>
      <c r="F79" s="6"/>
    </row>
    <row r="80" ht="14.25" customHeight="1">
      <c r="A80" s="7"/>
      <c r="F80" s="6"/>
    </row>
    <row r="81" ht="14.25" customHeight="1">
      <c r="A81" s="7"/>
      <c r="F81" s="6"/>
    </row>
    <row r="82" ht="14.25" customHeight="1">
      <c r="A82" s="7"/>
      <c r="F82" s="6"/>
    </row>
    <row r="83" ht="14.25" customHeight="1">
      <c r="A83" s="7"/>
      <c r="F83" s="6"/>
    </row>
    <row r="84" ht="14.25" customHeight="1">
      <c r="A84" s="7"/>
      <c r="F84" s="6"/>
    </row>
    <row r="85" ht="14.25" customHeight="1">
      <c r="A85" s="7"/>
      <c r="F85" s="6"/>
    </row>
    <row r="86" ht="14.25" customHeight="1">
      <c r="A86" s="7"/>
      <c r="F86" s="6"/>
    </row>
    <row r="87" ht="14.25" customHeight="1">
      <c r="A87" s="7"/>
      <c r="F87" s="6"/>
    </row>
    <row r="88" ht="14.25" customHeight="1">
      <c r="A88" s="7"/>
      <c r="F88" s="6"/>
    </row>
    <row r="89" ht="14.25" customHeight="1">
      <c r="A89" s="7"/>
      <c r="F89" s="6"/>
    </row>
    <row r="90" ht="14.25" customHeight="1">
      <c r="A90" s="7"/>
      <c r="F90" s="6"/>
    </row>
    <row r="91" ht="14.25" customHeight="1">
      <c r="A91" s="7"/>
      <c r="F91" s="6"/>
    </row>
    <row r="92" ht="14.25" customHeight="1">
      <c r="A92" s="7"/>
      <c r="F92" s="6"/>
    </row>
    <row r="93" ht="14.25" customHeight="1">
      <c r="A93" s="7"/>
      <c r="F93" s="6"/>
    </row>
    <row r="94" ht="14.25" customHeight="1">
      <c r="A94" s="7"/>
      <c r="F94" s="6"/>
    </row>
    <row r="95" ht="14.25" customHeight="1">
      <c r="A95" s="7"/>
      <c r="F95" s="6"/>
    </row>
    <row r="96" ht="14.25" customHeight="1">
      <c r="A96" s="7"/>
      <c r="F96" s="6"/>
    </row>
    <row r="97" ht="14.25" customHeight="1">
      <c r="A97" s="7"/>
      <c r="F97" s="6"/>
    </row>
    <row r="98" ht="14.25" customHeight="1">
      <c r="A98" s="7"/>
      <c r="F98" s="6"/>
    </row>
    <row r="99" ht="14.25" customHeight="1">
      <c r="A99" s="7"/>
      <c r="F99" s="6"/>
    </row>
    <row r="100" ht="14.25" customHeight="1">
      <c r="A100" s="7"/>
      <c r="F100" s="6"/>
    </row>
    <row r="101" ht="14.25" customHeight="1">
      <c r="A101" s="7"/>
      <c r="F101" s="6"/>
    </row>
    <row r="102" ht="14.25" customHeight="1">
      <c r="A102" s="7"/>
      <c r="F102" s="6"/>
    </row>
    <row r="103" ht="14.25" customHeight="1">
      <c r="A103" s="7"/>
      <c r="F103" s="6"/>
    </row>
    <row r="104" ht="14.25" customHeight="1">
      <c r="A104" s="7"/>
      <c r="F104" s="6"/>
    </row>
    <row r="105" ht="14.25" customHeight="1">
      <c r="A105" s="7"/>
      <c r="F105" s="6"/>
    </row>
    <row r="106" ht="14.25" customHeight="1">
      <c r="A106" s="7"/>
      <c r="F106" s="6"/>
    </row>
    <row r="107" ht="14.25" customHeight="1">
      <c r="A107" s="7"/>
      <c r="F107" s="6"/>
    </row>
    <row r="108" ht="14.25" customHeight="1">
      <c r="A108" s="7"/>
      <c r="F108" s="6"/>
    </row>
    <row r="109" ht="14.25" customHeight="1">
      <c r="A109" s="7"/>
      <c r="F109" s="6"/>
    </row>
    <row r="110" ht="14.25" customHeight="1">
      <c r="A110" s="7"/>
      <c r="F110" s="6"/>
    </row>
    <row r="111" ht="14.25" customHeight="1">
      <c r="A111" s="7"/>
      <c r="F111" s="6"/>
    </row>
    <row r="112" ht="14.25" customHeight="1">
      <c r="A112" s="7"/>
      <c r="F112" s="6"/>
    </row>
    <row r="113" ht="14.25" customHeight="1">
      <c r="A113" s="7"/>
      <c r="F113" s="6"/>
    </row>
    <row r="114" ht="14.25" customHeight="1">
      <c r="A114" s="7"/>
      <c r="F114" s="6"/>
    </row>
    <row r="115" ht="14.25" customHeight="1">
      <c r="A115" s="7"/>
      <c r="F115" s="6"/>
    </row>
    <row r="116" ht="14.25" customHeight="1">
      <c r="A116" s="7"/>
      <c r="F116" s="6"/>
    </row>
    <row r="117" ht="14.25" customHeight="1">
      <c r="A117" s="7"/>
      <c r="F117" s="6"/>
    </row>
    <row r="118" ht="14.25" customHeight="1">
      <c r="A118" s="7"/>
      <c r="F118" s="6"/>
    </row>
    <row r="119" ht="14.25" customHeight="1">
      <c r="A119" s="7"/>
      <c r="F119" s="6"/>
    </row>
    <row r="120" ht="14.25" customHeight="1">
      <c r="A120" s="7"/>
      <c r="F120" s="6"/>
    </row>
    <row r="121" ht="14.25" customHeight="1">
      <c r="A121" s="7"/>
      <c r="F121" s="6"/>
    </row>
    <row r="122" ht="14.25" customHeight="1">
      <c r="A122" s="7"/>
      <c r="F122" s="6"/>
    </row>
    <row r="123" ht="14.25" customHeight="1">
      <c r="A123" s="7"/>
      <c r="F123" s="6"/>
    </row>
    <row r="124" ht="14.25" customHeight="1">
      <c r="A124" s="7"/>
      <c r="F124" s="6"/>
    </row>
    <row r="125" ht="14.25" customHeight="1">
      <c r="A125" s="7"/>
      <c r="F125" s="6"/>
    </row>
    <row r="126" ht="14.25" customHeight="1">
      <c r="A126" s="7"/>
      <c r="F126" s="6"/>
    </row>
    <row r="127" ht="14.25" customHeight="1">
      <c r="A127" s="7"/>
      <c r="F127" s="6"/>
    </row>
    <row r="128" ht="14.25" customHeight="1">
      <c r="A128" s="7"/>
      <c r="F128" s="6"/>
    </row>
    <row r="129" ht="14.25" customHeight="1">
      <c r="A129" s="7"/>
      <c r="F129" s="6"/>
    </row>
    <row r="130" ht="14.25" customHeight="1">
      <c r="A130" s="7"/>
      <c r="F130" s="6"/>
    </row>
    <row r="131" ht="14.25" customHeight="1">
      <c r="A131" s="7"/>
      <c r="F131" s="6"/>
    </row>
    <row r="132" ht="14.25" customHeight="1">
      <c r="A132" s="7"/>
      <c r="F132" s="6"/>
    </row>
    <row r="133" ht="14.25" customHeight="1">
      <c r="A133" s="7"/>
      <c r="F133" s="6"/>
    </row>
    <row r="134" ht="14.25" customHeight="1">
      <c r="A134" s="7"/>
      <c r="F134" s="6"/>
    </row>
    <row r="135" ht="14.25" customHeight="1">
      <c r="A135" s="7"/>
      <c r="F135" s="6"/>
    </row>
    <row r="136" ht="14.25" customHeight="1">
      <c r="A136" s="7"/>
      <c r="F136" s="6"/>
    </row>
    <row r="137" ht="14.25" customHeight="1">
      <c r="A137" s="7"/>
      <c r="F137" s="6"/>
    </row>
    <row r="138" ht="14.25" customHeight="1">
      <c r="A138" s="7"/>
      <c r="F138" s="6"/>
    </row>
    <row r="139" ht="14.25" customHeight="1">
      <c r="A139" s="7"/>
      <c r="F139" s="6"/>
    </row>
    <row r="140" ht="14.25" customHeight="1">
      <c r="A140" s="7"/>
      <c r="F140" s="6"/>
    </row>
    <row r="141" ht="14.25" customHeight="1">
      <c r="A141" s="7"/>
      <c r="F141" s="6"/>
    </row>
    <row r="142" ht="14.25" customHeight="1">
      <c r="A142" s="7"/>
      <c r="F142" s="6"/>
    </row>
    <row r="143" ht="14.25" customHeight="1">
      <c r="A143" s="7"/>
      <c r="F143" s="6"/>
    </row>
    <row r="144" ht="14.25" customHeight="1">
      <c r="A144" s="7"/>
      <c r="F144" s="6"/>
    </row>
    <row r="145" ht="14.25" customHeight="1">
      <c r="A145" s="7"/>
      <c r="F145" s="6"/>
    </row>
    <row r="146" ht="14.25" customHeight="1">
      <c r="A146" s="7"/>
      <c r="F146" s="6"/>
    </row>
    <row r="147" ht="14.25" customHeight="1">
      <c r="A147" s="7"/>
      <c r="F147" s="6"/>
    </row>
    <row r="148" ht="14.25" customHeight="1">
      <c r="A148" s="7"/>
      <c r="F148" s="6"/>
    </row>
    <row r="149" ht="14.25" customHeight="1">
      <c r="A149" s="7"/>
      <c r="F149" s="6"/>
    </row>
    <row r="150" ht="14.25" customHeight="1">
      <c r="A150" s="7"/>
      <c r="F150" s="6"/>
    </row>
    <row r="151" ht="14.25" customHeight="1">
      <c r="A151" s="7"/>
      <c r="F151" s="6"/>
    </row>
    <row r="152" ht="14.25" customHeight="1">
      <c r="A152" s="7"/>
      <c r="F152" s="6"/>
    </row>
    <row r="153" ht="14.25" customHeight="1">
      <c r="A153" s="7"/>
      <c r="F153" s="6"/>
    </row>
    <row r="154" ht="14.25" customHeight="1">
      <c r="A154" s="7"/>
      <c r="F154" s="6"/>
    </row>
    <row r="155" ht="14.25" customHeight="1">
      <c r="A155" s="7"/>
      <c r="F155" s="6"/>
    </row>
    <row r="156" ht="14.25" customHeight="1">
      <c r="A156" s="7"/>
      <c r="F156" s="6"/>
    </row>
    <row r="157" ht="14.25" customHeight="1">
      <c r="A157" s="7"/>
      <c r="F157" s="6"/>
    </row>
    <row r="158" ht="14.25" customHeight="1">
      <c r="A158" s="7"/>
      <c r="F158" s="6"/>
    </row>
    <row r="159" ht="14.25" customHeight="1">
      <c r="A159" s="7"/>
      <c r="F159" s="6"/>
    </row>
    <row r="160" ht="14.25" customHeight="1">
      <c r="A160" s="7"/>
      <c r="F160" s="6"/>
    </row>
    <row r="161" ht="14.25" customHeight="1">
      <c r="A161" s="7"/>
      <c r="F161" s="6"/>
    </row>
    <row r="162" ht="14.25" customHeight="1">
      <c r="A162" s="7"/>
      <c r="F162" s="6"/>
    </row>
    <row r="163" ht="14.25" customHeight="1">
      <c r="A163" s="7"/>
      <c r="F163" s="6"/>
    </row>
    <row r="164" ht="14.25" customHeight="1">
      <c r="A164" s="7"/>
      <c r="F164" s="6"/>
    </row>
    <row r="165" ht="14.25" customHeight="1">
      <c r="A165" s="7"/>
      <c r="F165" s="6"/>
    </row>
    <row r="166" ht="14.25" customHeight="1">
      <c r="A166" s="7"/>
      <c r="F166" s="6"/>
    </row>
    <row r="167" ht="14.25" customHeight="1">
      <c r="A167" s="7"/>
      <c r="F167" s="6"/>
    </row>
    <row r="168" ht="14.25" customHeight="1">
      <c r="A168" s="7"/>
      <c r="F168" s="6"/>
    </row>
    <row r="169" ht="14.25" customHeight="1">
      <c r="A169" s="7"/>
      <c r="F169" s="6"/>
    </row>
    <row r="170" ht="14.25" customHeight="1">
      <c r="A170" s="7"/>
      <c r="F170" s="6"/>
    </row>
    <row r="171" ht="14.25" customHeight="1">
      <c r="A171" s="7"/>
      <c r="F171" s="6"/>
    </row>
    <row r="172" ht="14.25" customHeight="1">
      <c r="A172" s="7"/>
      <c r="F172" s="6"/>
    </row>
    <row r="173" ht="14.25" customHeight="1">
      <c r="A173" s="7"/>
      <c r="F173" s="6"/>
    </row>
    <row r="174" ht="14.25" customHeight="1">
      <c r="A174" s="7"/>
      <c r="F174" s="6"/>
    </row>
    <row r="175" ht="14.25" customHeight="1">
      <c r="A175" s="7"/>
      <c r="F175" s="6"/>
    </row>
    <row r="176" ht="14.25" customHeight="1">
      <c r="A176" s="7"/>
      <c r="F176" s="6"/>
    </row>
    <row r="177" ht="14.25" customHeight="1">
      <c r="A177" s="7"/>
      <c r="F177" s="6"/>
    </row>
    <row r="178" ht="14.25" customHeight="1">
      <c r="A178" s="7"/>
      <c r="F178" s="6"/>
    </row>
    <row r="179" ht="14.25" customHeight="1">
      <c r="A179" s="7"/>
      <c r="F179" s="6"/>
    </row>
    <row r="180" ht="14.25" customHeight="1">
      <c r="A180" s="7"/>
      <c r="F180" s="6"/>
    </row>
    <row r="181" ht="14.25" customHeight="1">
      <c r="A181" s="7"/>
      <c r="F181" s="6"/>
    </row>
    <row r="182" ht="14.25" customHeight="1">
      <c r="A182" s="7"/>
      <c r="F182" s="6"/>
    </row>
    <row r="183" ht="14.25" customHeight="1">
      <c r="A183" s="7"/>
      <c r="F183" s="6"/>
    </row>
    <row r="184" ht="14.25" customHeight="1">
      <c r="A184" s="7"/>
      <c r="F184" s="6"/>
    </row>
    <row r="185" ht="14.25" customHeight="1">
      <c r="A185" s="7"/>
      <c r="F185" s="6"/>
    </row>
    <row r="186" ht="14.25" customHeight="1">
      <c r="A186" s="7"/>
      <c r="F186" s="6"/>
    </row>
    <row r="187" ht="14.25" customHeight="1">
      <c r="A187" s="7"/>
      <c r="F187" s="6"/>
    </row>
    <row r="188" ht="14.25" customHeight="1">
      <c r="A188" s="7"/>
      <c r="F188" s="6"/>
    </row>
    <row r="189" ht="14.25" customHeight="1">
      <c r="A189" s="7"/>
      <c r="F189" s="6"/>
    </row>
    <row r="190" ht="14.25" customHeight="1">
      <c r="A190" s="7"/>
      <c r="F190" s="6"/>
    </row>
    <row r="191" ht="14.25" customHeight="1">
      <c r="A191" s="7"/>
      <c r="F191" s="6"/>
    </row>
    <row r="192" ht="14.25" customHeight="1">
      <c r="A192" s="7"/>
      <c r="F192" s="6"/>
    </row>
    <row r="193" ht="14.25" customHeight="1">
      <c r="A193" s="7"/>
      <c r="F193" s="6"/>
    </row>
    <row r="194" ht="14.25" customHeight="1">
      <c r="A194" s="7"/>
      <c r="F194" s="6"/>
    </row>
    <row r="195" ht="14.25" customHeight="1">
      <c r="A195" s="7"/>
      <c r="F195" s="6"/>
    </row>
    <row r="196" ht="14.25" customHeight="1">
      <c r="A196" s="7"/>
      <c r="F196" s="6"/>
    </row>
    <row r="197" ht="14.25" customHeight="1">
      <c r="A197" s="7"/>
      <c r="F197" s="6"/>
    </row>
    <row r="198" ht="14.25" customHeight="1">
      <c r="A198" s="7"/>
      <c r="F198" s="6"/>
    </row>
    <row r="199" ht="14.25" customHeight="1">
      <c r="A199" s="7"/>
      <c r="F199" s="6"/>
    </row>
    <row r="200" ht="14.25" customHeight="1">
      <c r="A200" s="7"/>
      <c r="F200" s="6"/>
    </row>
    <row r="201" ht="14.25" customHeight="1">
      <c r="A201" s="7"/>
      <c r="F201" s="6"/>
    </row>
    <row r="202" ht="14.25" customHeight="1">
      <c r="A202" s="7"/>
      <c r="F202" s="6"/>
    </row>
    <row r="203" ht="14.25" customHeight="1">
      <c r="A203" s="7"/>
      <c r="F203" s="6"/>
    </row>
    <row r="204" ht="14.25" customHeight="1">
      <c r="A204" s="7"/>
      <c r="F204" s="6"/>
    </row>
    <row r="205" ht="14.25" customHeight="1">
      <c r="A205" s="7"/>
      <c r="F205" s="6"/>
    </row>
    <row r="206" ht="14.25" customHeight="1">
      <c r="A206" s="7"/>
      <c r="F206" s="6"/>
    </row>
    <row r="207" ht="14.25" customHeight="1">
      <c r="A207" s="7"/>
      <c r="F207" s="6"/>
    </row>
    <row r="208" ht="14.25" customHeight="1">
      <c r="A208" s="7"/>
      <c r="F208" s="6"/>
    </row>
    <row r="209" ht="14.25" customHeight="1">
      <c r="A209" s="7"/>
      <c r="F209" s="6"/>
    </row>
    <row r="210" ht="14.25" customHeight="1">
      <c r="A210" s="7"/>
      <c r="F210" s="6"/>
    </row>
    <row r="211" ht="14.25" customHeight="1">
      <c r="A211" s="7"/>
      <c r="F211" s="6"/>
    </row>
    <row r="212" ht="14.25" customHeight="1">
      <c r="A212" s="7"/>
      <c r="F212" s="6"/>
    </row>
    <row r="213" ht="14.25" customHeight="1">
      <c r="A213" s="7"/>
      <c r="F213" s="6"/>
    </row>
    <row r="214" ht="14.25" customHeight="1">
      <c r="A214" s="7"/>
      <c r="F214" s="6"/>
    </row>
    <row r="215" ht="14.25" customHeight="1">
      <c r="A215" s="7"/>
      <c r="F215" s="6"/>
    </row>
    <row r="216" ht="14.25" customHeight="1">
      <c r="A216" s="7"/>
      <c r="F216" s="6"/>
    </row>
    <row r="217" ht="14.25" customHeight="1">
      <c r="A217" s="7"/>
      <c r="F217" s="6"/>
    </row>
    <row r="218" ht="14.25" customHeight="1">
      <c r="A218" s="7"/>
      <c r="F218" s="6"/>
    </row>
    <row r="219" ht="14.25" customHeight="1">
      <c r="A219" s="7"/>
      <c r="F219" s="6"/>
    </row>
    <row r="220" ht="14.25" customHeight="1">
      <c r="A220" s="7"/>
      <c r="F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3:D5"/>
    <mergeCell ref="D7:D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7.0"/>
    <col customWidth="1" min="3" max="3" width="13.29"/>
    <col customWidth="1" min="4" max="5" width="20.86"/>
    <col customWidth="1" min="6" max="6" width="18.43"/>
    <col customWidth="1" min="7" max="8" width="20.86"/>
    <col customWidth="1" min="9" max="9" width="18.43"/>
    <col customWidth="1" min="10" max="11" width="20.86"/>
    <col customWidth="1" min="12" max="12" width="18.43"/>
    <col customWidth="1" min="13" max="14" width="20.86"/>
    <col customWidth="1" min="15" max="15" width="18.43"/>
  </cols>
  <sheetData>
    <row r="1" ht="14.25" customHeight="1">
      <c r="D1" s="2" t="s">
        <v>0</v>
      </c>
      <c r="E1" s="4"/>
      <c r="F1" s="5"/>
      <c r="G1" s="8" t="s">
        <v>2</v>
      </c>
      <c r="H1" s="4"/>
      <c r="I1" s="5"/>
      <c r="J1" s="11" t="s">
        <v>7</v>
      </c>
      <c r="K1" s="4"/>
      <c r="L1" s="5"/>
      <c r="M1" s="13" t="s">
        <v>9</v>
      </c>
      <c r="N1" s="4"/>
      <c r="O1" s="5"/>
    </row>
    <row r="2" ht="14.25" customHeight="1">
      <c r="B2" s="14" t="s">
        <v>10</v>
      </c>
      <c r="C2" s="15" t="s">
        <v>11</v>
      </c>
      <c r="D2" s="17" t="s">
        <v>12</v>
      </c>
      <c r="E2" s="17" t="s">
        <v>13</v>
      </c>
      <c r="F2" s="17" t="s">
        <v>14</v>
      </c>
      <c r="G2" s="20" t="s">
        <v>12</v>
      </c>
      <c r="H2" s="20" t="s">
        <v>13</v>
      </c>
      <c r="I2" s="20" t="s">
        <v>14</v>
      </c>
      <c r="J2" s="22" t="s">
        <v>12</v>
      </c>
      <c r="K2" s="22" t="s">
        <v>13</v>
      </c>
      <c r="L2" s="22" t="s">
        <v>14</v>
      </c>
      <c r="M2" s="24" t="s">
        <v>12</v>
      </c>
      <c r="N2" s="24" t="s">
        <v>13</v>
      </c>
      <c r="O2" s="24" t="s">
        <v>14</v>
      </c>
    </row>
    <row r="3" ht="14.25" customHeight="1">
      <c r="B3" s="25" t="s">
        <v>16</v>
      </c>
      <c r="C3" s="26">
        <v>2000000.0</v>
      </c>
      <c r="D3" s="26">
        <f>C3*0.75</f>
        <v>1500000</v>
      </c>
      <c r="E3" s="26" t="s">
        <v>19</v>
      </c>
      <c r="F3" s="26">
        <f>C3*0.95</f>
        <v>1900000</v>
      </c>
      <c r="G3" s="26">
        <f t="shared" ref="G3:G5" si="1">D3*0.9</f>
        <v>1350000</v>
      </c>
      <c r="H3" s="26" t="s">
        <v>19</v>
      </c>
      <c r="I3" s="26">
        <f>F3*0.9</f>
        <v>1710000</v>
      </c>
      <c r="J3" s="26">
        <f t="shared" ref="J3:J5" si="3">D3*0.85</f>
        <v>1275000</v>
      </c>
      <c r="K3" s="26" t="s">
        <v>19</v>
      </c>
      <c r="L3" s="26">
        <f>F3*0.85</f>
        <v>1615000</v>
      </c>
      <c r="M3" s="26">
        <f t="shared" ref="M3:M5" si="5">D3*0.8</f>
        <v>1200000</v>
      </c>
      <c r="N3" s="26" t="s">
        <v>19</v>
      </c>
      <c r="O3" s="26">
        <f>F3*0.8</f>
        <v>1520000</v>
      </c>
    </row>
    <row r="4" ht="14.25" customHeight="1">
      <c r="B4" s="25" t="s">
        <v>21</v>
      </c>
      <c r="C4" s="26">
        <v>3000000.0</v>
      </c>
      <c r="D4" s="26">
        <f>C4*0.6</f>
        <v>1800000</v>
      </c>
      <c r="E4" s="26">
        <f>C4*0.65</f>
        <v>1950000</v>
      </c>
      <c r="F4" s="26">
        <f>C4*0.85</f>
        <v>2550000</v>
      </c>
      <c r="G4" s="26">
        <f t="shared" si="1"/>
        <v>1620000</v>
      </c>
      <c r="H4" s="26">
        <f t="shared" ref="H4:I4" si="2">E4*0.9</f>
        <v>1755000</v>
      </c>
      <c r="I4" s="26">
        <f t="shared" si="2"/>
        <v>2295000</v>
      </c>
      <c r="J4" s="26">
        <f t="shared" si="3"/>
        <v>1530000</v>
      </c>
      <c r="K4" s="26">
        <f t="shared" ref="K4:L4" si="4">E4*0.85</f>
        <v>1657500</v>
      </c>
      <c r="L4" s="26">
        <f t="shared" si="4"/>
        <v>2167500</v>
      </c>
      <c r="M4" s="26">
        <f t="shared" si="5"/>
        <v>1440000</v>
      </c>
      <c r="N4" s="26">
        <f t="shared" ref="N4:O4" si="6">E4*0.8</f>
        <v>1560000</v>
      </c>
      <c r="O4" s="26">
        <f t="shared" si="6"/>
        <v>2040000</v>
      </c>
    </row>
    <row r="5" ht="14.25" customHeight="1">
      <c r="B5" s="25" t="s">
        <v>28</v>
      </c>
      <c r="C5" s="26">
        <v>4000000.0</v>
      </c>
      <c r="D5" s="26">
        <f>C5*0.5</f>
        <v>2000000</v>
      </c>
      <c r="E5" s="26">
        <f>C5*0.55</f>
        <v>2200000</v>
      </c>
      <c r="F5" s="26">
        <f>C5*0.8</f>
        <v>3200000</v>
      </c>
      <c r="G5" s="26">
        <f t="shared" si="1"/>
        <v>1800000</v>
      </c>
      <c r="H5" s="26">
        <f t="shared" ref="H5:I5" si="7">E5*0.9</f>
        <v>1980000</v>
      </c>
      <c r="I5" s="26">
        <f t="shared" si="7"/>
        <v>2880000</v>
      </c>
      <c r="J5" s="26">
        <f t="shared" si="3"/>
        <v>1700000</v>
      </c>
      <c r="K5" s="26">
        <f t="shared" ref="K5:L5" si="8">E5*0.85</f>
        <v>1870000</v>
      </c>
      <c r="L5" s="26">
        <f t="shared" si="8"/>
        <v>2720000</v>
      </c>
      <c r="M5" s="26">
        <f t="shared" si="5"/>
        <v>1600000</v>
      </c>
      <c r="N5" s="26">
        <f t="shared" ref="N5:O5" si="9">E5*0.8</f>
        <v>1760000</v>
      </c>
      <c r="O5" s="26">
        <f t="shared" si="9"/>
        <v>2560000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O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29"/>
    <col customWidth="1" min="2" max="2" width="3.86"/>
    <col customWidth="1" min="3" max="3" width="13.57"/>
    <col customWidth="1" min="4" max="4" width="9.0"/>
    <col customWidth="1" min="5" max="5" width="9.29"/>
    <col customWidth="1" min="6" max="7" width="12.14"/>
    <col customWidth="1" min="8" max="8" width="13.57"/>
    <col customWidth="1" min="9" max="9" width="10.57"/>
    <col customWidth="1" min="10" max="10" width="16.86"/>
    <col customWidth="1" min="11" max="11" width="4.43"/>
    <col customWidth="1" min="12" max="12" width="2.29"/>
    <col customWidth="1" min="13" max="13" width="5.29"/>
    <col customWidth="1" min="14" max="14" width="13.57"/>
    <col customWidth="1" min="15" max="15" width="11.14"/>
    <col customWidth="1" min="16" max="16" width="9.86"/>
    <col customWidth="1" min="17" max="19" width="12.14"/>
    <col customWidth="1" min="20" max="20" width="10.57"/>
    <col customWidth="1" min="21" max="21" width="13.57"/>
    <col customWidth="1" min="22" max="22" width="5.14"/>
    <col customWidth="1" min="23" max="23" width="5.29"/>
    <col customWidth="1" min="24" max="24" width="4.71"/>
    <col customWidth="1" min="25" max="25" width="13.57"/>
    <col customWidth="1" min="26" max="26" width="9.57"/>
    <col customWidth="1" min="27" max="27" width="11.14"/>
    <col customWidth="1" min="28" max="30" width="12.14"/>
    <col customWidth="1" min="31" max="31" width="13.29"/>
    <col customWidth="1" min="32" max="32" width="12.14"/>
    <col customWidth="1" min="33" max="33" width="11.43"/>
    <col customWidth="1" min="34" max="34" width="4.71"/>
    <col customWidth="1" min="35" max="35" width="5.14"/>
    <col customWidth="1" min="36" max="36" width="13.57"/>
    <col customWidth="1" min="37" max="37" width="9.0"/>
    <col customWidth="1" min="38" max="38" width="9.86"/>
    <col customWidth="1" min="39" max="41" width="12.14"/>
    <col customWidth="1" min="42" max="42" width="10.57"/>
    <col customWidth="1" min="43" max="43" width="10.0"/>
    <col customWidth="1" min="44" max="44" width="4.29"/>
    <col customWidth="1" min="45" max="45" width="6.0"/>
  </cols>
  <sheetData>
    <row r="1" ht="7.5" customHeight="1">
      <c r="A1" s="12"/>
      <c r="B1" s="12"/>
      <c r="C1" s="16">
        <v>0.03</v>
      </c>
      <c r="D1" s="12"/>
      <c r="E1" s="12"/>
      <c r="F1" s="12"/>
      <c r="G1" s="12"/>
      <c r="H1" s="12"/>
      <c r="I1" s="2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</row>
    <row r="2" ht="6.75" customHeight="1">
      <c r="A2" s="12"/>
      <c r="B2" s="27"/>
      <c r="C2" s="28"/>
      <c r="D2" s="28"/>
      <c r="E2" s="28"/>
      <c r="F2" s="28"/>
      <c r="G2" s="28"/>
      <c r="H2" s="28"/>
      <c r="I2" s="29"/>
      <c r="J2" s="28"/>
      <c r="K2" s="30"/>
      <c r="L2" s="12"/>
      <c r="M2" s="27"/>
      <c r="N2" s="28"/>
      <c r="O2" s="28"/>
      <c r="P2" s="28"/>
      <c r="Q2" s="28"/>
      <c r="R2" s="28"/>
      <c r="S2" s="28"/>
      <c r="T2" s="28"/>
      <c r="U2" s="28"/>
      <c r="V2" s="30"/>
      <c r="W2" s="12"/>
      <c r="X2" s="27"/>
      <c r="Y2" s="28"/>
      <c r="Z2" s="28"/>
      <c r="AA2" s="28"/>
      <c r="AB2" s="28"/>
      <c r="AC2" s="28"/>
      <c r="AD2" s="28"/>
      <c r="AE2" s="28"/>
      <c r="AF2" s="28"/>
      <c r="AG2" s="30"/>
      <c r="AH2" s="12"/>
      <c r="AI2" s="27"/>
      <c r="AJ2" s="28"/>
      <c r="AK2" s="28"/>
      <c r="AL2" s="28"/>
      <c r="AM2" s="28"/>
      <c r="AN2" s="28"/>
      <c r="AO2" s="28"/>
      <c r="AP2" s="28"/>
      <c r="AQ2" s="28"/>
      <c r="AR2" s="30"/>
      <c r="AS2" s="12"/>
    </row>
    <row r="3" ht="15.0" customHeight="1">
      <c r="A3" s="12"/>
      <c r="B3" s="31"/>
      <c r="C3" s="32" t="s">
        <v>39</v>
      </c>
      <c r="D3" s="33"/>
      <c r="E3" s="33"/>
      <c r="F3" s="33"/>
      <c r="G3" s="33"/>
      <c r="H3" s="33"/>
      <c r="I3" s="33"/>
      <c r="J3" s="34"/>
      <c r="K3" s="35"/>
      <c r="L3" s="12"/>
      <c r="M3" s="31"/>
      <c r="N3" s="50" t="s">
        <v>40</v>
      </c>
      <c r="O3" s="33"/>
      <c r="P3" s="33"/>
      <c r="Q3" s="33"/>
      <c r="R3" s="33"/>
      <c r="S3" s="33"/>
      <c r="T3" s="33"/>
      <c r="U3" s="34"/>
      <c r="V3" s="35"/>
      <c r="W3" s="12"/>
      <c r="X3" s="31"/>
      <c r="Y3" s="52" t="s">
        <v>41</v>
      </c>
      <c r="Z3" s="33"/>
      <c r="AA3" s="33"/>
      <c r="AB3" s="33"/>
      <c r="AC3" s="33"/>
      <c r="AD3" s="33"/>
      <c r="AE3" s="33"/>
      <c r="AF3" s="34"/>
      <c r="AG3" s="35"/>
      <c r="AH3" s="54"/>
      <c r="AI3" s="31"/>
      <c r="AJ3" s="56" t="s">
        <v>42</v>
      </c>
      <c r="AK3" s="33"/>
      <c r="AL3" s="33"/>
      <c r="AM3" s="33"/>
      <c r="AN3" s="33"/>
      <c r="AO3" s="33"/>
      <c r="AP3" s="33"/>
      <c r="AQ3" s="34"/>
      <c r="AR3" s="35"/>
      <c r="AS3" s="12"/>
    </row>
    <row r="4" ht="14.25" customHeight="1">
      <c r="A4" s="12"/>
      <c r="B4" s="31"/>
      <c r="C4" s="37"/>
      <c r="D4" s="38"/>
      <c r="E4" s="38"/>
      <c r="F4" s="38"/>
      <c r="G4" s="38"/>
      <c r="H4" s="38"/>
      <c r="I4" s="38"/>
      <c r="J4" s="39"/>
      <c r="K4" s="35"/>
      <c r="L4" s="12"/>
      <c r="M4" s="31"/>
      <c r="N4" s="37"/>
      <c r="O4" s="38"/>
      <c r="P4" s="38"/>
      <c r="Q4" s="38"/>
      <c r="R4" s="38"/>
      <c r="S4" s="38"/>
      <c r="T4" s="38"/>
      <c r="U4" s="39"/>
      <c r="V4" s="35"/>
      <c r="W4" s="54"/>
      <c r="X4" s="31"/>
      <c r="Y4" s="37"/>
      <c r="Z4" s="38"/>
      <c r="AA4" s="38"/>
      <c r="AB4" s="38"/>
      <c r="AC4" s="38"/>
      <c r="AD4" s="38"/>
      <c r="AE4" s="38"/>
      <c r="AF4" s="39"/>
      <c r="AG4" s="35"/>
      <c r="AH4" s="54"/>
      <c r="AI4" s="31"/>
      <c r="AJ4" s="37"/>
      <c r="AK4" s="38"/>
      <c r="AL4" s="38"/>
      <c r="AM4" s="38"/>
      <c r="AN4" s="38"/>
      <c r="AO4" s="38"/>
      <c r="AP4" s="38"/>
      <c r="AQ4" s="39"/>
      <c r="AR4" s="35"/>
      <c r="AS4" s="54"/>
    </row>
    <row r="5" ht="14.25" customHeight="1">
      <c r="A5" s="12"/>
      <c r="B5" s="31"/>
      <c r="C5" s="12"/>
      <c r="D5" s="12"/>
      <c r="E5" s="12"/>
      <c r="F5" s="12"/>
      <c r="G5" s="12"/>
      <c r="H5" s="12"/>
      <c r="I5" s="21"/>
      <c r="J5" s="12"/>
      <c r="K5" s="35"/>
      <c r="L5" s="12"/>
      <c r="M5" s="31"/>
      <c r="N5" s="12"/>
      <c r="O5" s="12"/>
      <c r="P5" s="12"/>
      <c r="Q5" s="12"/>
      <c r="R5" s="12"/>
      <c r="S5" s="12"/>
      <c r="T5" s="12"/>
      <c r="U5" s="12"/>
      <c r="V5" s="35"/>
      <c r="W5" s="54"/>
      <c r="X5" s="31"/>
      <c r="Y5" s="12"/>
      <c r="Z5" s="12"/>
      <c r="AA5" s="12"/>
      <c r="AB5" s="12"/>
      <c r="AC5" s="12"/>
      <c r="AD5" s="12"/>
      <c r="AE5" s="12"/>
      <c r="AF5" s="12"/>
      <c r="AG5" s="35"/>
      <c r="AH5" s="12"/>
      <c r="AI5" s="31"/>
      <c r="AJ5" s="12"/>
      <c r="AK5" s="12"/>
      <c r="AL5" s="12"/>
      <c r="AM5" s="12"/>
      <c r="AN5" s="12"/>
      <c r="AO5" s="12"/>
      <c r="AP5" s="12"/>
      <c r="AQ5" s="12"/>
      <c r="AR5" s="35"/>
      <c r="AS5" s="54"/>
    </row>
    <row r="6" ht="37.5" customHeight="1">
      <c r="A6" s="12"/>
      <c r="B6" s="31"/>
      <c r="C6" s="40" t="s">
        <v>43</v>
      </c>
      <c r="D6" s="4"/>
      <c r="E6" s="4"/>
      <c r="F6" s="4"/>
      <c r="G6" s="4"/>
      <c r="H6" s="4"/>
      <c r="I6" s="4"/>
      <c r="J6" s="5"/>
      <c r="K6" s="35"/>
      <c r="L6" s="12"/>
      <c r="M6" s="31"/>
      <c r="N6" s="40" t="s">
        <v>43</v>
      </c>
      <c r="O6" s="4"/>
      <c r="P6" s="4"/>
      <c r="Q6" s="4"/>
      <c r="R6" s="4"/>
      <c r="S6" s="4"/>
      <c r="T6" s="4"/>
      <c r="U6" s="5"/>
      <c r="V6" s="35"/>
      <c r="W6" s="12"/>
      <c r="X6" s="31"/>
      <c r="Y6" s="40" t="s">
        <v>43</v>
      </c>
      <c r="Z6" s="4"/>
      <c r="AA6" s="4"/>
      <c r="AB6" s="4"/>
      <c r="AC6" s="4"/>
      <c r="AD6" s="4"/>
      <c r="AE6" s="4"/>
      <c r="AF6" s="5"/>
      <c r="AG6" s="35"/>
      <c r="AH6" s="63"/>
      <c r="AI6" s="31"/>
      <c r="AJ6" s="40" t="s">
        <v>43</v>
      </c>
      <c r="AK6" s="4"/>
      <c r="AL6" s="4"/>
      <c r="AM6" s="4"/>
      <c r="AN6" s="4"/>
      <c r="AO6" s="4"/>
      <c r="AP6" s="4"/>
      <c r="AQ6" s="5"/>
      <c r="AR6" s="35"/>
      <c r="AS6" s="12"/>
    </row>
    <row r="7" ht="14.25" customHeight="1">
      <c r="A7" s="12"/>
      <c r="B7" s="31"/>
      <c r="C7" s="64" t="s">
        <v>30</v>
      </c>
      <c r="D7" s="43" t="s">
        <v>31</v>
      </c>
      <c r="E7" s="43" t="s">
        <v>32</v>
      </c>
      <c r="F7" s="43" t="s">
        <v>33</v>
      </c>
      <c r="G7" s="43" t="s">
        <v>34</v>
      </c>
      <c r="H7" s="43" t="s">
        <v>35</v>
      </c>
      <c r="I7" s="65" t="s">
        <v>36</v>
      </c>
      <c r="J7" s="45" t="s">
        <v>37</v>
      </c>
      <c r="K7" s="35"/>
      <c r="L7" s="12"/>
      <c r="M7" s="31"/>
      <c r="N7" s="46" t="s">
        <v>30</v>
      </c>
      <c r="O7" s="42" t="s">
        <v>31</v>
      </c>
      <c r="P7" s="42" t="s">
        <v>32</v>
      </c>
      <c r="Q7" s="43" t="s">
        <v>33</v>
      </c>
      <c r="R7" s="43" t="s">
        <v>34</v>
      </c>
      <c r="S7" s="66" t="s">
        <v>35</v>
      </c>
      <c r="T7" s="65" t="s">
        <v>36</v>
      </c>
      <c r="U7" s="45" t="s">
        <v>37</v>
      </c>
      <c r="V7" s="35"/>
      <c r="W7" s="63"/>
      <c r="X7" s="31"/>
      <c r="Y7" s="46" t="s">
        <v>30</v>
      </c>
      <c r="Z7" s="42" t="s">
        <v>31</v>
      </c>
      <c r="AA7" s="42" t="s">
        <v>32</v>
      </c>
      <c r="AB7" s="43" t="s">
        <v>33</v>
      </c>
      <c r="AC7" s="43" t="s">
        <v>34</v>
      </c>
      <c r="AD7" s="42" t="s">
        <v>35</v>
      </c>
      <c r="AE7" s="67" t="s">
        <v>36</v>
      </c>
      <c r="AF7" s="68" t="s">
        <v>37</v>
      </c>
      <c r="AG7" s="35"/>
      <c r="AH7" s="69"/>
      <c r="AI7" s="31"/>
      <c r="AJ7" s="64" t="s">
        <v>30</v>
      </c>
      <c r="AK7" s="43" t="s">
        <v>31</v>
      </c>
      <c r="AL7" s="43" t="s">
        <v>32</v>
      </c>
      <c r="AM7" s="43" t="s">
        <v>33</v>
      </c>
      <c r="AN7" s="43" t="s">
        <v>34</v>
      </c>
      <c r="AO7" s="43" t="s">
        <v>35</v>
      </c>
      <c r="AP7" s="65" t="s">
        <v>36</v>
      </c>
      <c r="AQ7" s="45" t="s">
        <v>37</v>
      </c>
      <c r="AR7" s="35"/>
      <c r="AS7" s="63"/>
    </row>
    <row r="8" ht="14.25" customHeight="1">
      <c r="A8" s="12"/>
      <c r="B8" s="31"/>
      <c r="C8" s="55" t="str">
        <f>+'Incre IPC 2025'!#REF!</f>
        <v>#ERROR!</v>
      </c>
      <c r="D8" s="48">
        <v>1.0</v>
      </c>
      <c r="E8" s="57">
        <v>0.15</v>
      </c>
      <c r="F8" s="51" t="str">
        <f>H8</f>
        <v>#ERROR!</v>
      </c>
      <c r="G8" s="51">
        <v>0.0</v>
      </c>
      <c r="H8" s="51" t="str">
        <f>C8-(C8*E8)</f>
        <v>#ERROR!</v>
      </c>
      <c r="I8" s="51" t="str">
        <f>H8/J$8</f>
        <v>#ERROR!</v>
      </c>
      <c r="J8" s="48">
        <v>162.0</v>
      </c>
      <c r="K8" s="35"/>
      <c r="L8" s="12"/>
      <c r="M8" s="31"/>
      <c r="N8" s="55" t="str">
        <f>+C8</f>
        <v>#ERROR!</v>
      </c>
      <c r="O8" s="48">
        <v>1.0</v>
      </c>
      <c r="P8" s="49" t="str">
        <f>(N8-S8)/N8</f>
        <v>#ERROR!</v>
      </c>
      <c r="Q8" s="51" t="str">
        <f>S8</f>
        <v>#ERROR!</v>
      </c>
      <c r="R8" s="51">
        <v>0.0</v>
      </c>
      <c r="S8" s="51" t="str">
        <f t="shared" ref="S8:S9" si="1">H8*0.9</f>
        <v>#ERROR!</v>
      </c>
      <c r="T8" s="51" t="str">
        <f>S8/U8</f>
        <v>#ERROR!</v>
      </c>
      <c r="U8" s="48">
        <v>162.0</v>
      </c>
      <c r="V8" s="35"/>
      <c r="W8" s="69"/>
      <c r="X8" s="31"/>
      <c r="Y8" s="55" t="str">
        <f>+C8</f>
        <v>#ERROR!</v>
      </c>
      <c r="Z8" s="48">
        <v>1.0</v>
      </c>
      <c r="AA8" s="49" t="str">
        <f>(Y8-AD8)/Y8</f>
        <v>#ERROR!</v>
      </c>
      <c r="AB8" s="51" t="str">
        <f>AD8</f>
        <v>#ERROR!</v>
      </c>
      <c r="AC8" s="51">
        <v>0.0</v>
      </c>
      <c r="AD8" s="51" t="str">
        <f t="shared" ref="AD8:AD9" si="2">H8*0.85</f>
        <v>#ERROR!</v>
      </c>
      <c r="AE8" s="51" t="str">
        <f>AD8/AF8</f>
        <v>#ERROR!</v>
      </c>
      <c r="AF8" s="48">
        <v>162.0</v>
      </c>
      <c r="AG8" s="35"/>
      <c r="AH8" s="21"/>
      <c r="AI8" s="31"/>
      <c r="AJ8" s="55" t="str">
        <f>+C8</f>
        <v>#ERROR!</v>
      </c>
      <c r="AK8" s="48">
        <v>1.0</v>
      </c>
      <c r="AL8" s="49" t="str">
        <f>(AJ8-AO8)/AJ8</f>
        <v>#ERROR!</v>
      </c>
      <c r="AM8" s="51" t="str">
        <f>AO8</f>
        <v>#ERROR!</v>
      </c>
      <c r="AN8" s="51">
        <v>0.0</v>
      </c>
      <c r="AO8" s="51" t="str">
        <f t="shared" ref="AO8:AO9" si="3">H8*0.8</f>
        <v>#ERROR!</v>
      </c>
      <c r="AP8" s="51" t="str">
        <f>AO8/AQ8</f>
        <v>#ERROR!</v>
      </c>
      <c r="AQ8" s="48">
        <v>162.0</v>
      </c>
      <c r="AR8" s="35"/>
      <c r="AS8" s="69"/>
    </row>
    <row r="9" ht="14.25" customHeight="1">
      <c r="A9" s="12"/>
      <c r="B9" s="31"/>
      <c r="C9" s="58"/>
      <c r="D9" s="48">
        <v>6.0</v>
      </c>
      <c r="E9" s="57">
        <v>0.0</v>
      </c>
      <c r="F9" s="59" t="str">
        <f>H9/D9</f>
        <v>#ERROR!</v>
      </c>
      <c r="G9" s="51" t="str">
        <f>(H9-F9)/(D9-1)</f>
        <v>#ERROR!</v>
      </c>
      <c r="H9" s="51" t="str">
        <f>C8-(C8*E9)</f>
        <v>#ERROR!</v>
      </c>
      <c r="I9" s="51" t="str">
        <f>H9/J8</f>
        <v>#ERROR!</v>
      </c>
      <c r="J9" s="48">
        <f>J8/D9</f>
        <v>27</v>
      </c>
      <c r="K9" s="35"/>
      <c r="L9" s="12"/>
      <c r="M9" s="31"/>
      <c r="N9" s="58"/>
      <c r="O9" s="48">
        <f>+D9</f>
        <v>6</v>
      </c>
      <c r="P9" s="49" t="str">
        <f>(N8-S9)/N8</f>
        <v>#ERROR!</v>
      </c>
      <c r="Q9" s="59" t="str">
        <f>F9-(F9*10%)</f>
        <v>#ERROR!</v>
      </c>
      <c r="R9" s="51" t="str">
        <f>(S9-Q9)/(O9-1)</f>
        <v>#ERROR!</v>
      </c>
      <c r="S9" s="51" t="str">
        <f t="shared" si="1"/>
        <v>#ERROR!</v>
      </c>
      <c r="T9" s="51" t="str">
        <f>S9/U8</f>
        <v>#ERROR!</v>
      </c>
      <c r="U9" s="48">
        <f>U8/O9</f>
        <v>27</v>
      </c>
      <c r="V9" s="35"/>
      <c r="W9" s="21"/>
      <c r="X9" s="31"/>
      <c r="Y9" s="58"/>
      <c r="Z9" s="48">
        <f>+D9</f>
        <v>6</v>
      </c>
      <c r="AA9" s="49" t="str">
        <f>(Y8-AD9)/Y8</f>
        <v>#ERROR!</v>
      </c>
      <c r="AB9" s="59" t="str">
        <f>F9-(F9*15%)</f>
        <v>#ERROR!</v>
      </c>
      <c r="AC9" s="51" t="str">
        <f>(AD9-AB9)/(Z9-1)</f>
        <v>#ERROR!</v>
      </c>
      <c r="AD9" s="51" t="str">
        <f t="shared" si="2"/>
        <v>#ERROR!</v>
      </c>
      <c r="AE9" s="51" t="str">
        <f>AD9/AF8</f>
        <v>#ERROR!</v>
      </c>
      <c r="AF9" s="48">
        <f>AF8/Z9</f>
        <v>27</v>
      </c>
      <c r="AG9" s="35"/>
      <c r="AH9" s="21"/>
      <c r="AI9" s="31"/>
      <c r="AJ9" s="58"/>
      <c r="AK9" s="48">
        <f>+D9</f>
        <v>6</v>
      </c>
      <c r="AL9" s="49" t="str">
        <f>(AJ8-AO9)/AJ8</f>
        <v>#ERROR!</v>
      </c>
      <c r="AM9" s="59" t="str">
        <f>F9-(F9*20%)</f>
        <v>#ERROR!</v>
      </c>
      <c r="AN9" s="51" t="str">
        <f>(AO9-AM9)/(AK9-1)</f>
        <v>#ERROR!</v>
      </c>
      <c r="AO9" s="51" t="str">
        <f t="shared" si="3"/>
        <v>#ERROR!</v>
      </c>
      <c r="AP9" s="51" t="str">
        <f>AO9/AQ8</f>
        <v>#ERROR!</v>
      </c>
      <c r="AQ9" s="48">
        <f>AQ8/AK9</f>
        <v>27</v>
      </c>
      <c r="AR9" s="35"/>
      <c r="AS9" s="21"/>
    </row>
    <row r="10" ht="14.25" customHeight="1">
      <c r="A10" s="12"/>
      <c r="B10" s="31"/>
      <c r="C10" s="12"/>
      <c r="D10" s="12"/>
      <c r="E10" s="12"/>
      <c r="F10" s="12"/>
      <c r="G10" s="12"/>
      <c r="H10" s="12"/>
      <c r="I10" s="12"/>
      <c r="J10" s="12"/>
      <c r="K10" s="35"/>
      <c r="L10" s="12"/>
      <c r="M10" s="31"/>
      <c r="N10" s="62"/>
      <c r="O10" s="62"/>
      <c r="P10" s="12"/>
      <c r="Q10" s="12"/>
      <c r="R10" s="12"/>
      <c r="S10" s="12"/>
      <c r="T10" s="12"/>
      <c r="U10" s="12"/>
      <c r="V10" s="35"/>
      <c r="W10" s="21"/>
      <c r="X10" s="31"/>
      <c r="Y10" s="12"/>
      <c r="Z10" s="12"/>
      <c r="AA10" s="12"/>
      <c r="AB10" s="12"/>
      <c r="AC10" s="12"/>
      <c r="AD10" s="12"/>
      <c r="AE10" s="12"/>
      <c r="AF10" s="12"/>
      <c r="AG10" s="35"/>
      <c r="AH10" s="12"/>
      <c r="AI10" s="31"/>
      <c r="AJ10" s="12"/>
      <c r="AK10" s="12"/>
      <c r="AL10" s="12"/>
      <c r="AM10" s="12"/>
      <c r="AN10" s="12"/>
      <c r="AO10" s="12"/>
      <c r="AP10" s="12"/>
      <c r="AQ10" s="12"/>
      <c r="AR10" s="35"/>
      <c r="AS10" s="21"/>
    </row>
    <row r="11" ht="33.75" customHeight="1">
      <c r="A11" s="12"/>
      <c r="B11" s="31"/>
      <c r="C11" s="40" t="s">
        <v>50</v>
      </c>
      <c r="D11" s="4"/>
      <c r="E11" s="4"/>
      <c r="F11" s="4"/>
      <c r="G11" s="4"/>
      <c r="H11" s="4"/>
      <c r="I11" s="4"/>
      <c r="J11" s="4"/>
      <c r="K11" s="35"/>
      <c r="L11" s="12"/>
      <c r="M11" s="31"/>
      <c r="N11" s="40" t="s">
        <v>50</v>
      </c>
      <c r="O11" s="4"/>
      <c r="P11" s="4"/>
      <c r="Q11" s="4"/>
      <c r="R11" s="4"/>
      <c r="S11" s="4"/>
      <c r="T11" s="4"/>
      <c r="U11" s="5"/>
      <c r="V11" s="35"/>
      <c r="W11" s="12"/>
      <c r="X11" s="31"/>
      <c r="Y11" s="40" t="s">
        <v>50</v>
      </c>
      <c r="Z11" s="4"/>
      <c r="AA11" s="4"/>
      <c r="AB11" s="4"/>
      <c r="AC11" s="4"/>
      <c r="AD11" s="4"/>
      <c r="AE11" s="4"/>
      <c r="AF11" s="5"/>
      <c r="AG11" s="35"/>
      <c r="AH11" s="63"/>
      <c r="AI11" s="31"/>
      <c r="AJ11" s="40" t="s">
        <v>50</v>
      </c>
      <c r="AK11" s="4"/>
      <c r="AL11" s="4"/>
      <c r="AM11" s="4"/>
      <c r="AN11" s="4"/>
      <c r="AO11" s="4"/>
      <c r="AP11" s="4"/>
      <c r="AQ11" s="5"/>
      <c r="AR11" s="35"/>
      <c r="AS11" s="12"/>
    </row>
    <row r="12" ht="14.25" customHeight="1">
      <c r="A12" s="12"/>
      <c r="B12" s="31"/>
      <c r="C12" s="46" t="s">
        <v>30</v>
      </c>
      <c r="D12" s="42" t="s">
        <v>31</v>
      </c>
      <c r="E12" s="42" t="s">
        <v>32</v>
      </c>
      <c r="F12" s="43" t="s">
        <v>33</v>
      </c>
      <c r="G12" s="43" t="s">
        <v>34</v>
      </c>
      <c r="H12" s="42" t="s">
        <v>35</v>
      </c>
      <c r="I12" s="44" t="s">
        <v>36</v>
      </c>
      <c r="J12" s="45" t="s">
        <v>37</v>
      </c>
      <c r="K12" s="35"/>
      <c r="L12" s="12"/>
      <c r="M12" s="31"/>
      <c r="N12" s="46" t="s">
        <v>30</v>
      </c>
      <c r="O12" s="42" t="s">
        <v>31</v>
      </c>
      <c r="P12" s="42" t="s">
        <v>32</v>
      </c>
      <c r="Q12" s="43" t="s">
        <v>33</v>
      </c>
      <c r="R12" s="43" t="s">
        <v>34</v>
      </c>
      <c r="S12" s="42" t="s">
        <v>35</v>
      </c>
      <c r="T12" s="44" t="s">
        <v>36</v>
      </c>
      <c r="U12" s="45" t="s">
        <v>37</v>
      </c>
      <c r="V12" s="35"/>
      <c r="W12" s="63"/>
      <c r="X12" s="31"/>
      <c r="Y12" s="46" t="s">
        <v>30</v>
      </c>
      <c r="Z12" s="42" t="s">
        <v>31</v>
      </c>
      <c r="AA12" s="42" t="s">
        <v>32</v>
      </c>
      <c r="AB12" s="43" t="s">
        <v>33</v>
      </c>
      <c r="AC12" s="43" t="s">
        <v>34</v>
      </c>
      <c r="AD12" s="42" t="s">
        <v>35</v>
      </c>
      <c r="AE12" s="44" t="s">
        <v>36</v>
      </c>
      <c r="AF12" s="45" t="s">
        <v>37</v>
      </c>
      <c r="AG12" s="35"/>
      <c r="AH12" s="69"/>
      <c r="AI12" s="31"/>
      <c r="AJ12" s="64" t="s">
        <v>30</v>
      </c>
      <c r="AK12" s="43" t="s">
        <v>31</v>
      </c>
      <c r="AL12" s="43" t="s">
        <v>32</v>
      </c>
      <c r="AM12" s="43" t="s">
        <v>33</v>
      </c>
      <c r="AN12" s="43" t="s">
        <v>34</v>
      </c>
      <c r="AO12" s="43" t="s">
        <v>35</v>
      </c>
      <c r="AP12" s="65" t="s">
        <v>36</v>
      </c>
      <c r="AQ12" s="45" t="s">
        <v>37</v>
      </c>
      <c r="AR12" s="35"/>
      <c r="AS12" s="63"/>
    </row>
    <row r="13" ht="14.25" customHeight="1">
      <c r="A13" s="12"/>
      <c r="B13" s="31"/>
      <c r="C13" s="55" t="str">
        <f>+'Incre IPC 2025'!#REF!</f>
        <v>#ERROR!</v>
      </c>
      <c r="D13" s="48">
        <v>1.0</v>
      </c>
      <c r="E13" s="57">
        <v>0.15</v>
      </c>
      <c r="F13" s="51" t="str">
        <f>H13</f>
        <v>#ERROR!</v>
      </c>
      <c r="G13" s="51">
        <v>0.0</v>
      </c>
      <c r="H13" s="51" t="str">
        <f>C13-(C13*E13)</f>
        <v>#ERROR!</v>
      </c>
      <c r="I13" s="53" t="str">
        <f>H13/J13</f>
        <v>#ERROR!</v>
      </c>
      <c r="J13" s="48">
        <v>178.0</v>
      </c>
      <c r="K13" s="35"/>
      <c r="L13" s="12"/>
      <c r="M13" s="31"/>
      <c r="N13" s="55" t="str">
        <f>+C13</f>
        <v>#ERROR!</v>
      </c>
      <c r="O13" s="48">
        <v>1.0</v>
      </c>
      <c r="P13" s="49" t="str">
        <f>(N13-S13)/N13</f>
        <v>#ERROR!</v>
      </c>
      <c r="Q13" s="51" t="str">
        <f>S13</f>
        <v>#ERROR!</v>
      </c>
      <c r="R13" s="51">
        <v>0.0</v>
      </c>
      <c r="S13" s="51" t="str">
        <f t="shared" ref="S13:S14" si="4">H13*0.9</f>
        <v>#ERROR!</v>
      </c>
      <c r="T13" s="53" t="str">
        <f>S13/U13</f>
        <v>#ERROR!</v>
      </c>
      <c r="U13" s="48">
        <v>178.0</v>
      </c>
      <c r="V13" s="35"/>
      <c r="W13" s="69"/>
      <c r="X13" s="31"/>
      <c r="Y13" s="55" t="str">
        <f>+C13</f>
        <v>#ERROR!</v>
      </c>
      <c r="Z13" s="48">
        <v>1.0</v>
      </c>
      <c r="AA13" s="49" t="str">
        <f>(Y13-AD13)/Y13</f>
        <v>#ERROR!</v>
      </c>
      <c r="AB13" s="51" t="str">
        <f>AD13</f>
        <v>#ERROR!</v>
      </c>
      <c r="AC13" s="51">
        <v>0.0</v>
      </c>
      <c r="AD13" s="51" t="str">
        <f t="shared" ref="AD13:AD14" si="5">H13*0.85</f>
        <v>#ERROR!</v>
      </c>
      <c r="AE13" s="53" t="str">
        <f>AD13/AF13</f>
        <v>#ERROR!</v>
      </c>
      <c r="AF13" s="48">
        <v>178.0</v>
      </c>
      <c r="AG13" s="35"/>
      <c r="AH13" s="21"/>
      <c r="AI13" s="31"/>
      <c r="AJ13" s="55" t="str">
        <f>+C13</f>
        <v>#ERROR!</v>
      </c>
      <c r="AK13" s="48">
        <v>1.0</v>
      </c>
      <c r="AL13" s="49" t="str">
        <f>(AJ13-AO13)/AJ13</f>
        <v>#ERROR!</v>
      </c>
      <c r="AM13" s="51" t="str">
        <f>AO13</f>
        <v>#ERROR!</v>
      </c>
      <c r="AN13" s="51">
        <v>0.0</v>
      </c>
      <c r="AO13" s="51" t="str">
        <f t="shared" ref="AO13:AO14" si="6">H13*0.8</f>
        <v>#ERROR!</v>
      </c>
      <c r="AP13" s="51" t="str">
        <f>AO13/AQ13</f>
        <v>#ERROR!</v>
      </c>
      <c r="AQ13" s="48">
        <v>178.0</v>
      </c>
      <c r="AR13" s="35"/>
      <c r="AS13" s="69"/>
    </row>
    <row r="14" ht="14.25" customHeight="1">
      <c r="A14" s="12"/>
      <c r="B14" s="31"/>
      <c r="C14" s="58"/>
      <c r="D14" s="48">
        <v>6.0</v>
      </c>
      <c r="E14" s="57">
        <v>0.0</v>
      </c>
      <c r="F14" s="59" t="str">
        <f>H14/D14</f>
        <v>#ERROR!</v>
      </c>
      <c r="G14" s="51" t="str">
        <f>(H14-F14)/(D14-1)</f>
        <v>#ERROR!</v>
      </c>
      <c r="H14" s="51" t="str">
        <f>C13-(C13*E14)</f>
        <v>#ERROR!</v>
      </c>
      <c r="I14" s="53" t="str">
        <f>H14/J13</f>
        <v>#ERROR!</v>
      </c>
      <c r="J14" s="60">
        <f>J13/D14</f>
        <v>29.66666667</v>
      </c>
      <c r="K14" s="35"/>
      <c r="L14" s="12"/>
      <c r="M14" s="31"/>
      <c r="N14" s="58"/>
      <c r="O14" s="48">
        <f>+D14</f>
        <v>6</v>
      </c>
      <c r="P14" s="49" t="str">
        <f>(N13-S14)/N13</f>
        <v>#ERROR!</v>
      </c>
      <c r="Q14" s="59" t="str">
        <f>F14-(F14*10%)</f>
        <v>#ERROR!</v>
      </c>
      <c r="R14" s="51" t="str">
        <f>(S14-Q14)/(O14-1)</f>
        <v>#ERROR!</v>
      </c>
      <c r="S14" s="51" t="str">
        <f t="shared" si="4"/>
        <v>#ERROR!</v>
      </c>
      <c r="T14" s="53" t="str">
        <f>S14/U13</f>
        <v>#ERROR!</v>
      </c>
      <c r="U14" s="60">
        <f>U13/O14</f>
        <v>29.66666667</v>
      </c>
      <c r="V14" s="35"/>
      <c r="W14" s="21"/>
      <c r="X14" s="31"/>
      <c r="Y14" s="58"/>
      <c r="Z14" s="48">
        <f>+D14</f>
        <v>6</v>
      </c>
      <c r="AA14" s="49" t="str">
        <f>(Y13-AD14)/Y13</f>
        <v>#ERROR!</v>
      </c>
      <c r="AB14" s="59" t="str">
        <f>F14-(F14*15%)</f>
        <v>#ERROR!</v>
      </c>
      <c r="AC14" s="51" t="str">
        <f>(AD14-AB14)/(Z14-1)</f>
        <v>#ERROR!</v>
      </c>
      <c r="AD14" s="51" t="str">
        <f t="shared" si="5"/>
        <v>#ERROR!</v>
      </c>
      <c r="AE14" s="53" t="str">
        <f>AD14/AF13</f>
        <v>#ERROR!</v>
      </c>
      <c r="AF14" s="60">
        <f>AF13/Z14</f>
        <v>29.66666667</v>
      </c>
      <c r="AG14" s="35"/>
      <c r="AH14" s="85"/>
      <c r="AI14" s="31"/>
      <c r="AJ14" s="58"/>
      <c r="AK14" s="48">
        <f>+D14</f>
        <v>6</v>
      </c>
      <c r="AL14" s="49" t="str">
        <f>(AJ13-AO14)/AJ13</f>
        <v>#ERROR!</v>
      </c>
      <c r="AM14" s="59" t="str">
        <f>F14-(F14*20%)</f>
        <v>#ERROR!</v>
      </c>
      <c r="AN14" s="51" t="str">
        <f>(AO14-AM14)/(AK14-1)</f>
        <v>#ERROR!</v>
      </c>
      <c r="AO14" s="51" t="str">
        <f t="shared" si="6"/>
        <v>#ERROR!</v>
      </c>
      <c r="AP14" s="51" t="str">
        <f>AO14/AQ13</f>
        <v>#ERROR!</v>
      </c>
      <c r="AQ14" s="60">
        <f>AQ13/AK14</f>
        <v>29.66666667</v>
      </c>
      <c r="AR14" s="35"/>
      <c r="AS14" s="21"/>
    </row>
    <row r="15" ht="14.25" customHeight="1">
      <c r="A15" s="12"/>
      <c r="B15" s="31"/>
      <c r="C15" s="12"/>
      <c r="D15" s="12"/>
      <c r="E15" s="12"/>
      <c r="F15" s="12"/>
      <c r="G15" s="12"/>
      <c r="H15" s="12"/>
      <c r="I15" s="21"/>
      <c r="J15" s="12"/>
      <c r="K15" s="35"/>
      <c r="L15" s="12"/>
      <c r="M15" s="31"/>
      <c r="N15" s="12"/>
      <c r="O15" s="12"/>
      <c r="P15" s="12"/>
      <c r="Q15" s="12"/>
      <c r="R15" s="12"/>
      <c r="S15" s="12"/>
      <c r="T15" s="12"/>
      <c r="U15" s="12"/>
      <c r="V15" s="35"/>
      <c r="W15" s="85"/>
      <c r="X15" s="31"/>
      <c r="Y15" s="12"/>
      <c r="Z15" s="12"/>
      <c r="AA15" s="12"/>
      <c r="AB15" s="12"/>
      <c r="AC15" s="12"/>
      <c r="AD15" s="12"/>
      <c r="AE15" s="12"/>
      <c r="AF15" s="12"/>
      <c r="AG15" s="35"/>
      <c r="AH15" s="12"/>
      <c r="AI15" s="31"/>
      <c r="AJ15" s="12"/>
      <c r="AK15" s="12"/>
      <c r="AL15" s="12"/>
      <c r="AM15" s="12"/>
      <c r="AN15" s="12"/>
      <c r="AO15" s="12"/>
      <c r="AP15" s="12"/>
      <c r="AQ15" s="12"/>
      <c r="AR15" s="35"/>
      <c r="AS15" s="85"/>
    </row>
    <row r="16" ht="33.0" customHeight="1">
      <c r="A16" s="12"/>
      <c r="B16" s="31"/>
      <c r="C16" s="40" t="s">
        <v>51</v>
      </c>
      <c r="D16" s="4"/>
      <c r="E16" s="4"/>
      <c r="F16" s="4"/>
      <c r="G16" s="4"/>
      <c r="H16" s="4"/>
      <c r="I16" s="4"/>
      <c r="J16" s="5"/>
      <c r="K16" s="35"/>
      <c r="L16" s="12"/>
      <c r="M16" s="31"/>
      <c r="N16" s="40" t="s">
        <v>51</v>
      </c>
      <c r="O16" s="4"/>
      <c r="P16" s="4"/>
      <c r="Q16" s="4"/>
      <c r="R16" s="4"/>
      <c r="S16" s="4"/>
      <c r="T16" s="4"/>
      <c r="U16" s="5"/>
      <c r="V16" s="35"/>
      <c r="W16" s="12"/>
      <c r="X16" s="31"/>
      <c r="Y16" s="40" t="s">
        <v>51</v>
      </c>
      <c r="Z16" s="4"/>
      <c r="AA16" s="4"/>
      <c r="AB16" s="4"/>
      <c r="AC16" s="4"/>
      <c r="AD16" s="4"/>
      <c r="AE16" s="4"/>
      <c r="AF16" s="5"/>
      <c r="AG16" s="35"/>
      <c r="AH16" s="63"/>
      <c r="AI16" s="31"/>
      <c r="AJ16" s="40" t="s">
        <v>51</v>
      </c>
      <c r="AK16" s="4"/>
      <c r="AL16" s="4"/>
      <c r="AM16" s="4"/>
      <c r="AN16" s="4"/>
      <c r="AO16" s="4"/>
      <c r="AP16" s="4"/>
      <c r="AQ16" s="5"/>
      <c r="AR16" s="35"/>
      <c r="AS16" s="12"/>
    </row>
    <row r="17" ht="14.25" customHeight="1">
      <c r="A17" s="12"/>
      <c r="B17" s="31"/>
      <c r="C17" s="46" t="s">
        <v>30</v>
      </c>
      <c r="D17" s="42" t="s">
        <v>31</v>
      </c>
      <c r="E17" s="42" t="s">
        <v>32</v>
      </c>
      <c r="F17" s="43" t="s">
        <v>33</v>
      </c>
      <c r="G17" s="43" t="s">
        <v>34</v>
      </c>
      <c r="H17" s="42" t="s">
        <v>35</v>
      </c>
      <c r="I17" s="44" t="s">
        <v>36</v>
      </c>
      <c r="J17" s="45" t="s">
        <v>37</v>
      </c>
      <c r="K17" s="35"/>
      <c r="L17" s="12"/>
      <c r="M17" s="31"/>
      <c r="N17" s="46" t="s">
        <v>30</v>
      </c>
      <c r="O17" s="42" t="s">
        <v>31</v>
      </c>
      <c r="P17" s="42" t="s">
        <v>32</v>
      </c>
      <c r="Q17" s="43" t="s">
        <v>33</v>
      </c>
      <c r="R17" s="43" t="s">
        <v>34</v>
      </c>
      <c r="S17" s="42" t="s">
        <v>35</v>
      </c>
      <c r="T17" s="44" t="s">
        <v>36</v>
      </c>
      <c r="U17" s="45" t="s">
        <v>37</v>
      </c>
      <c r="V17" s="35"/>
      <c r="W17" s="63"/>
      <c r="X17" s="31"/>
      <c r="Y17" s="46" t="s">
        <v>30</v>
      </c>
      <c r="Z17" s="42" t="s">
        <v>31</v>
      </c>
      <c r="AA17" s="42" t="s">
        <v>32</v>
      </c>
      <c r="AB17" s="43" t="s">
        <v>33</v>
      </c>
      <c r="AC17" s="43" t="s">
        <v>34</v>
      </c>
      <c r="AD17" s="42" t="s">
        <v>35</v>
      </c>
      <c r="AE17" s="44" t="s">
        <v>36</v>
      </c>
      <c r="AF17" s="45" t="s">
        <v>37</v>
      </c>
      <c r="AG17" s="35"/>
      <c r="AH17" s="69"/>
      <c r="AI17" s="31"/>
      <c r="AJ17" s="64" t="s">
        <v>30</v>
      </c>
      <c r="AK17" s="43" t="s">
        <v>31</v>
      </c>
      <c r="AL17" s="43" t="s">
        <v>32</v>
      </c>
      <c r="AM17" s="43" t="s">
        <v>33</v>
      </c>
      <c r="AN17" s="43" t="s">
        <v>34</v>
      </c>
      <c r="AO17" s="43" t="s">
        <v>35</v>
      </c>
      <c r="AP17" s="65" t="s">
        <v>36</v>
      </c>
      <c r="AQ17" s="45" t="s">
        <v>37</v>
      </c>
      <c r="AR17" s="35"/>
      <c r="AS17" s="63"/>
    </row>
    <row r="18" ht="14.25" customHeight="1">
      <c r="A18" s="12"/>
      <c r="B18" s="31"/>
      <c r="C18" s="55" t="str">
        <f>+'Incre IPC 2025'!#REF!</f>
        <v>#ERROR!</v>
      </c>
      <c r="D18" s="48">
        <v>1.0</v>
      </c>
      <c r="E18" s="57">
        <v>0.15</v>
      </c>
      <c r="F18" s="51" t="str">
        <f>H18</f>
        <v>#ERROR!</v>
      </c>
      <c r="G18" s="51">
        <v>0.0</v>
      </c>
      <c r="H18" s="51" t="str">
        <f>C18-(C18*E18)</f>
        <v>#ERROR!</v>
      </c>
      <c r="I18" s="53" t="str">
        <f>H18/J18</f>
        <v>#ERROR!</v>
      </c>
      <c r="J18" s="48">
        <v>202.0</v>
      </c>
      <c r="K18" s="35"/>
      <c r="L18" s="12"/>
      <c r="M18" s="31"/>
      <c r="N18" s="55" t="str">
        <f>+C18</f>
        <v>#ERROR!</v>
      </c>
      <c r="O18" s="48">
        <v>1.0</v>
      </c>
      <c r="P18" s="49" t="str">
        <f>(N18-S18)/N18</f>
        <v>#ERROR!</v>
      </c>
      <c r="Q18" s="51" t="str">
        <f>S18</f>
        <v>#ERROR!</v>
      </c>
      <c r="R18" s="51">
        <v>0.0</v>
      </c>
      <c r="S18" s="51" t="str">
        <f t="shared" ref="S18:S19" si="7">H18*0.9</f>
        <v>#ERROR!</v>
      </c>
      <c r="T18" s="53" t="str">
        <f>S18/U18</f>
        <v>#ERROR!</v>
      </c>
      <c r="U18" s="48">
        <v>202.0</v>
      </c>
      <c r="V18" s="35"/>
      <c r="W18" s="69"/>
      <c r="X18" s="31"/>
      <c r="Y18" s="55" t="str">
        <f>+C18</f>
        <v>#ERROR!</v>
      </c>
      <c r="Z18" s="48">
        <v>1.0</v>
      </c>
      <c r="AA18" s="49" t="str">
        <f>(Y18-AD18)/Y18</f>
        <v>#ERROR!</v>
      </c>
      <c r="AB18" s="51" t="str">
        <f>AD18</f>
        <v>#ERROR!</v>
      </c>
      <c r="AC18" s="51">
        <v>0.0</v>
      </c>
      <c r="AD18" s="51" t="str">
        <f t="shared" ref="AD18:AD19" si="8">H18*0.85</f>
        <v>#ERROR!</v>
      </c>
      <c r="AE18" s="53" t="str">
        <f>AD18/AF18</f>
        <v>#ERROR!</v>
      </c>
      <c r="AF18" s="48">
        <v>202.0</v>
      </c>
      <c r="AG18" s="35"/>
      <c r="AH18" s="21"/>
      <c r="AI18" s="31"/>
      <c r="AJ18" s="55" t="str">
        <f>+C18</f>
        <v>#ERROR!</v>
      </c>
      <c r="AK18" s="48">
        <v>1.0</v>
      </c>
      <c r="AL18" s="49" t="str">
        <f>(AJ18-AO18)/AJ18</f>
        <v>#ERROR!</v>
      </c>
      <c r="AM18" s="51" t="str">
        <f>AO18</f>
        <v>#ERROR!</v>
      </c>
      <c r="AN18" s="51">
        <v>0.0</v>
      </c>
      <c r="AO18" s="51" t="str">
        <f t="shared" ref="AO18:AO19" si="9">H18*0.8</f>
        <v>#ERROR!</v>
      </c>
      <c r="AP18" s="51" t="str">
        <f>AO18/AQ18</f>
        <v>#ERROR!</v>
      </c>
      <c r="AQ18" s="48">
        <v>202.0</v>
      </c>
      <c r="AR18" s="35"/>
      <c r="AS18" s="69"/>
    </row>
    <row r="19" ht="14.25" customHeight="1">
      <c r="A19" s="12"/>
      <c r="B19" s="31"/>
      <c r="C19" s="58"/>
      <c r="D19" s="48">
        <v>6.0</v>
      </c>
      <c r="E19" s="57">
        <v>0.0</v>
      </c>
      <c r="F19" s="59" t="str">
        <f>H19/D19</f>
        <v>#ERROR!</v>
      </c>
      <c r="G19" s="51" t="str">
        <f>(H19-F19)/(D19-1)</f>
        <v>#ERROR!</v>
      </c>
      <c r="H19" s="51" t="str">
        <f>C18-(C18*E19)</f>
        <v>#ERROR!</v>
      </c>
      <c r="I19" s="53" t="str">
        <f>H19/J18</f>
        <v>#ERROR!</v>
      </c>
      <c r="J19" s="60">
        <f>J18/D19</f>
        <v>33.66666667</v>
      </c>
      <c r="K19" s="35"/>
      <c r="L19" s="12"/>
      <c r="M19" s="31"/>
      <c r="N19" s="58"/>
      <c r="O19" s="48">
        <f>+D19</f>
        <v>6</v>
      </c>
      <c r="P19" s="49" t="str">
        <f>(N18-S19)/N18</f>
        <v>#ERROR!</v>
      </c>
      <c r="Q19" s="59" t="str">
        <f>F19-(F19*10%)</f>
        <v>#ERROR!</v>
      </c>
      <c r="R19" s="51" t="str">
        <f>(S19-Q19)/(O19-1)</f>
        <v>#ERROR!</v>
      </c>
      <c r="S19" s="51" t="str">
        <f t="shared" si="7"/>
        <v>#ERROR!</v>
      </c>
      <c r="T19" s="53" t="str">
        <f>S19/U18</f>
        <v>#ERROR!</v>
      </c>
      <c r="U19" s="60">
        <f>U18/O19</f>
        <v>33.66666667</v>
      </c>
      <c r="V19" s="35"/>
      <c r="W19" s="21"/>
      <c r="X19" s="31"/>
      <c r="Y19" s="58"/>
      <c r="Z19" s="48">
        <f>+D19</f>
        <v>6</v>
      </c>
      <c r="AA19" s="49" t="str">
        <f>(Y18-AD19)/Y18</f>
        <v>#ERROR!</v>
      </c>
      <c r="AB19" s="59" t="str">
        <f>F19-(F19*15%)</f>
        <v>#ERROR!</v>
      </c>
      <c r="AC19" s="51" t="str">
        <f>(AD19-AB19)/(Z19-1)</f>
        <v>#ERROR!</v>
      </c>
      <c r="AD19" s="51" t="str">
        <f t="shared" si="8"/>
        <v>#ERROR!</v>
      </c>
      <c r="AE19" s="53" t="str">
        <f>AD19/AF18</f>
        <v>#ERROR!</v>
      </c>
      <c r="AF19" s="60">
        <f>AF18/Z19</f>
        <v>33.66666667</v>
      </c>
      <c r="AG19" s="35"/>
      <c r="AH19" s="85"/>
      <c r="AI19" s="31"/>
      <c r="AJ19" s="58"/>
      <c r="AK19" s="48">
        <f>+D19</f>
        <v>6</v>
      </c>
      <c r="AL19" s="49" t="str">
        <f>(AJ18-AO19)/AJ18</f>
        <v>#ERROR!</v>
      </c>
      <c r="AM19" s="59" t="str">
        <f>F19-(F19*20%)</f>
        <v>#ERROR!</v>
      </c>
      <c r="AN19" s="51" t="str">
        <f>(AO19-AM19)/(AK19-1)</f>
        <v>#ERROR!</v>
      </c>
      <c r="AO19" s="51" t="str">
        <f t="shared" si="9"/>
        <v>#ERROR!</v>
      </c>
      <c r="AP19" s="51" t="str">
        <f>AO19/AQ18</f>
        <v>#ERROR!</v>
      </c>
      <c r="AQ19" s="60">
        <f>AQ18/AK19</f>
        <v>33.66666667</v>
      </c>
      <c r="AR19" s="35"/>
      <c r="AS19" s="21"/>
    </row>
    <row r="20" ht="14.25" customHeight="1">
      <c r="A20" s="12"/>
      <c r="B20" s="31"/>
      <c r="C20" s="12"/>
      <c r="D20" s="12"/>
      <c r="E20" s="12"/>
      <c r="F20" s="12"/>
      <c r="G20" s="12"/>
      <c r="H20" s="12"/>
      <c r="I20" s="21"/>
      <c r="J20" s="12"/>
      <c r="K20" s="35"/>
      <c r="L20" s="12"/>
      <c r="M20" s="31"/>
      <c r="N20" s="12"/>
      <c r="O20" s="12"/>
      <c r="P20" s="12"/>
      <c r="Q20" s="12"/>
      <c r="R20" s="12"/>
      <c r="S20" s="12"/>
      <c r="T20" s="12"/>
      <c r="U20" s="12"/>
      <c r="V20" s="35"/>
      <c r="W20" s="85"/>
      <c r="X20" s="31"/>
      <c r="Y20" s="12"/>
      <c r="Z20" s="12"/>
      <c r="AA20" s="12"/>
      <c r="AB20" s="12"/>
      <c r="AC20" s="12"/>
      <c r="AD20" s="12"/>
      <c r="AE20" s="12"/>
      <c r="AF20" s="12"/>
      <c r="AG20" s="35"/>
      <c r="AH20" s="12"/>
      <c r="AI20" s="31"/>
      <c r="AJ20" s="12"/>
      <c r="AK20" s="12"/>
      <c r="AL20" s="12"/>
      <c r="AM20" s="12"/>
      <c r="AN20" s="12"/>
      <c r="AO20" s="12"/>
      <c r="AP20" s="12"/>
      <c r="AQ20" s="12"/>
      <c r="AR20" s="35"/>
      <c r="AS20" s="85"/>
    </row>
    <row r="21" ht="14.25" customHeight="1">
      <c r="A21" s="12"/>
      <c r="B21" s="31"/>
      <c r="C21" s="12"/>
      <c r="D21" s="12"/>
      <c r="E21" s="12"/>
      <c r="F21" s="12"/>
      <c r="G21" s="12"/>
      <c r="H21" s="12"/>
      <c r="I21" s="21"/>
      <c r="J21" s="12"/>
      <c r="K21" s="35"/>
      <c r="L21" s="12"/>
      <c r="M21" s="31"/>
      <c r="N21" s="12"/>
      <c r="O21" s="12"/>
      <c r="P21" s="12"/>
      <c r="Q21" s="12"/>
      <c r="R21" s="12"/>
      <c r="S21" s="12"/>
      <c r="T21" s="12"/>
      <c r="U21" s="12"/>
      <c r="V21" s="35"/>
      <c r="W21" s="12"/>
      <c r="X21" s="31"/>
      <c r="Y21" s="12"/>
      <c r="Z21" s="12"/>
      <c r="AA21" s="12"/>
      <c r="AB21" s="12"/>
      <c r="AC21" s="12"/>
      <c r="AD21" s="12"/>
      <c r="AE21" s="12"/>
      <c r="AF21" s="12"/>
      <c r="AG21" s="35"/>
      <c r="AH21" s="12"/>
      <c r="AI21" s="31"/>
      <c r="AJ21" s="12"/>
      <c r="AK21" s="12"/>
      <c r="AL21" s="12"/>
      <c r="AM21" s="12"/>
      <c r="AN21" s="12"/>
      <c r="AO21" s="12"/>
      <c r="AP21" s="12"/>
      <c r="AQ21" s="12"/>
      <c r="AR21" s="35"/>
      <c r="AS21" s="12"/>
    </row>
    <row r="22" ht="33.75" customHeight="1">
      <c r="A22" s="12"/>
      <c r="B22" s="31"/>
      <c r="C22" s="40" t="s">
        <v>62</v>
      </c>
      <c r="D22" s="4"/>
      <c r="E22" s="4"/>
      <c r="F22" s="4"/>
      <c r="G22" s="4"/>
      <c r="H22" s="4"/>
      <c r="I22" s="4"/>
      <c r="J22" s="5"/>
      <c r="K22" s="35"/>
      <c r="L22" s="12"/>
      <c r="M22" s="31"/>
      <c r="N22" s="40" t="s">
        <v>62</v>
      </c>
      <c r="O22" s="4"/>
      <c r="P22" s="4"/>
      <c r="Q22" s="4"/>
      <c r="R22" s="4"/>
      <c r="S22" s="4"/>
      <c r="T22" s="4"/>
      <c r="U22" s="5"/>
      <c r="V22" s="35"/>
      <c r="W22" s="12"/>
      <c r="X22" s="31"/>
      <c r="Y22" s="40" t="s">
        <v>62</v>
      </c>
      <c r="Z22" s="4"/>
      <c r="AA22" s="4"/>
      <c r="AB22" s="4"/>
      <c r="AC22" s="4"/>
      <c r="AD22" s="4"/>
      <c r="AE22" s="4"/>
      <c r="AF22" s="5"/>
      <c r="AG22" s="35"/>
      <c r="AH22" s="63"/>
      <c r="AI22" s="31"/>
      <c r="AJ22" s="40" t="s">
        <v>62</v>
      </c>
      <c r="AK22" s="4"/>
      <c r="AL22" s="4"/>
      <c r="AM22" s="4"/>
      <c r="AN22" s="4"/>
      <c r="AO22" s="4"/>
      <c r="AP22" s="4"/>
      <c r="AQ22" s="5"/>
      <c r="AR22" s="35"/>
      <c r="AS22" s="12"/>
    </row>
    <row r="23" ht="14.25" customHeight="1">
      <c r="A23" s="12"/>
      <c r="B23" s="31"/>
      <c r="C23" s="115" t="s">
        <v>30</v>
      </c>
      <c r="D23" s="42" t="s">
        <v>31</v>
      </c>
      <c r="E23" s="42" t="s">
        <v>32</v>
      </c>
      <c r="F23" s="43" t="s">
        <v>33</v>
      </c>
      <c r="G23" s="43" t="s">
        <v>34</v>
      </c>
      <c r="H23" s="42" t="s">
        <v>35</v>
      </c>
      <c r="I23" s="44" t="s">
        <v>36</v>
      </c>
      <c r="J23" s="45" t="s">
        <v>37</v>
      </c>
      <c r="K23" s="35"/>
      <c r="L23" s="12"/>
      <c r="M23" s="31"/>
      <c r="N23" s="115" t="s">
        <v>30</v>
      </c>
      <c r="O23" s="42" t="s">
        <v>31</v>
      </c>
      <c r="P23" s="42" t="s">
        <v>32</v>
      </c>
      <c r="Q23" s="43" t="s">
        <v>33</v>
      </c>
      <c r="R23" s="43" t="s">
        <v>34</v>
      </c>
      <c r="S23" s="42" t="s">
        <v>35</v>
      </c>
      <c r="T23" s="44" t="s">
        <v>36</v>
      </c>
      <c r="U23" s="45" t="s">
        <v>37</v>
      </c>
      <c r="V23" s="35"/>
      <c r="W23" s="63"/>
      <c r="X23" s="31"/>
      <c r="Y23" s="115" t="s">
        <v>30</v>
      </c>
      <c r="Z23" s="42" t="s">
        <v>31</v>
      </c>
      <c r="AA23" s="42" t="s">
        <v>32</v>
      </c>
      <c r="AB23" s="43" t="s">
        <v>33</v>
      </c>
      <c r="AC23" s="43" t="s">
        <v>34</v>
      </c>
      <c r="AD23" s="42" t="s">
        <v>35</v>
      </c>
      <c r="AE23" s="44" t="s">
        <v>36</v>
      </c>
      <c r="AF23" s="45" t="s">
        <v>37</v>
      </c>
      <c r="AG23" s="35"/>
      <c r="AH23" s="69"/>
      <c r="AI23" s="31"/>
      <c r="AJ23" s="118" t="s">
        <v>30</v>
      </c>
      <c r="AK23" s="43" t="s">
        <v>31</v>
      </c>
      <c r="AL23" s="43" t="s">
        <v>32</v>
      </c>
      <c r="AM23" s="43" t="s">
        <v>33</v>
      </c>
      <c r="AN23" s="43" t="s">
        <v>34</v>
      </c>
      <c r="AO23" s="43" t="s">
        <v>35</v>
      </c>
      <c r="AP23" s="65" t="s">
        <v>36</v>
      </c>
      <c r="AQ23" s="45" t="s">
        <v>37</v>
      </c>
      <c r="AR23" s="35"/>
      <c r="AS23" s="63"/>
    </row>
    <row r="24" ht="14.25" customHeight="1">
      <c r="A24" s="12"/>
      <c r="B24" s="31"/>
      <c r="C24" s="124" t="str">
        <f>SUM(C8+C8)</f>
        <v>#ERROR!</v>
      </c>
      <c r="D24" s="48">
        <v>1.0</v>
      </c>
      <c r="E24" s="57">
        <v>0.3</v>
      </c>
      <c r="F24" s="51" t="str">
        <f>H24</f>
        <v>#ERROR!</v>
      </c>
      <c r="G24" s="51">
        <v>0.0</v>
      </c>
      <c r="H24" s="51" t="str">
        <f>C24-(C24*E24)</f>
        <v>#ERROR!</v>
      </c>
      <c r="I24" s="53" t="str">
        <f>H24/J24</f>
        <v>#ERROR!</v>
      </c>
      <c r="J24" s="48">
        <v>324.0</v>
      </c>
      <c r="K24" s="35"/>
      <c r="L24" s="12"/>
      <c r="M24" s="31"/>
      <c r="N24" s="124" t="str">
        <f>SUM(N8+N8)</f>
        <v>#ERROR!</v>
      </c>
      <c r="O24" s="48">
        <v>1.0</v>
      </c>
      <c r="P24" s="49" t="str">
        <f>(N24-S24)/N24</f>
        <v>#ERROR!</v>
      </c>
      <c r="Q24" s="51" t="str">
        <f>S24</f>
        <v>#ERROR!</v>
      </c>
      <c r="R24" s="51">
        <v>0.0</v>
      </c>
      <c r="S24" s="51" t="str">
        <f t="shared" ref="S24:S25" si="10">H24*0.9</f>
        <v>#ERROR!</v>
      </c>
      <c r="T24" s="53" t="str">
        <f>S24/U24</f>
        <v>#ERROR!</v>
      </c>
      <c r="U24" s="48">
        <v>324.0</v>
      </c>
      <c r="V24" s="35"/>
      <c r="W24" s="69"/>
      <c r="X24" s="31"/>
      <c r="Y24" s="124" t="str">
        <f>SUM(Y8+Y8)</f>
        <v>#ERROR!</v>
      </c>
      <c r="Z24" s="48">
        <v>1.0</v>
      </c>
      <c r="AA24" s="49" t="str">
        <f>(Y24-AD24)/Y24</f>
        <v>#ERROR!</v>
      </c>
      <c r="AB24" s="51" t="str">
        <f>AD24</f>
        <v>#ERROR!</v>
      </c>
      <c r="AC24" s="51">
        <v>0.0</v>
      </c>
      <c r="AD24" s="51" t="str">
        <f t="shared" ref="AD24:AD25" si="11">H24*0.85</f>
        <v>#ERROR!</v>
      </c>
      <c r="AE24" s="53" t="str">
        <f>AD24/AF24</f>
        <v>#ERROR!</v>
      </c>
      <c r="AF24" s="48">
        <v>324.0</v>
      </c>
      <c r="AG24" s="35"/>
      <c r="AH24" s="21"/>
      <c r="AI24" s="31"/>
      <c r="AJ24" s="124" t="str">
        <f>SUM(AJ8+AJ8)</f>
        <v>#ERROR!</v>
      </c>
      <c r="AK24" s="48">
        <v>1.0</v>
      </c>
      <c r="AL24" s="49" t="str">
        <f>(AJ24-AO24)/AJ24</f>
        <v>#ERROR!</v>
      </c>
      <c r="AM24" s="51" t="str">
        <f>AO24</f>
        <v>#ERROR!</v>
      </c>
      <c r="AN24" s="51">
        <v>0.0</v>
      </c>
      <c r="AO24" s="51" t="str">
        <f t="shared" ref="AO24:AO25" si="12">H24*0.8</f>
        <v>#ERROR!</v>
      </c>
      <c r="AP24" s="51" t="str">
        <f>AO24/AQ24</f>
        <v>#ERROR!</v>
      </c>
      <c r="AQ24" s="48">
        <v>324.0</v>
      </c>
      <c r="AR24" s="35"/>
      <c r="AS24" s="69"/>
    </row>
    <row r="25" ht="14.25" customHeight="1">
      <c r="A25" s="12"/>
      <c r="B25" s="31"/>
      <c r="C25" s="58"/>
      <c r="D25" s="48">
        <v>12.0</v>
      </c>
      <c r="E25" s="57">
        <v>0.05</v>
      </c>
      <c r="F25" s="59" t="str">
        <f>H25/D25</f>
        <v>#ERROR!</v>
      </c>
      <c r="G25" s="51" t="str">
        <f>(H25-F25)/(D25-1)</f>
        <v>#ERROR!</v>
      </c>
      <c r="H25" s="51" t="str">
        <f>C24-(C24*E25)</f>
        <v>#ERROR!</v>
      </c>
      <c r="I25" s="53" t="str">
        <f>H25/J24</f>
        <v>#ERROR!</v>
      </c>
      <c r="J25" s="60">
        <f>J24/D25</f>
        <v>27</v>
      </c>
      <c r="K25" s="35"/>
      <c r="L25" s="12"/>
      <c r="M25" s="31"/>
      <c r="N25" s="58"/>
      <c r="O25" s="48">
        <f>+D25</f>
        <v>12</v>
      </c>
      <c r="P25" s="49" t="str">
        <f>(N24-S25)/N24</f>
        <v>#ERROR!</v>
      </c>
      <c r="Q25" s="59" t="str">
        <f>F25-(F25*10%)</f>
        <v>#ERROR!</v>
      </c>
      <c r="R25" s="51" t="str">
        <f>(S25-Q25)/(O25-1)</f>
        <v>#ERROR!</v>
      </c>
      <c r="S25" s="51" t="str">
        <f t="shared" si="10"/>
        <v>#ERROR!</v>
      </c>
      <c r="T25" s="53" t="str">
        <f>S25/U24</f>
        <v>#ERROR!</v>
      </c>
      <c r="U25" s="60">
        <f>U24/O25</f>
        <v>27</v>
      </c>
      <c r="V25" s="35"/>
      <c r="W25" s="21"/>
      <c r="X25" s="31"/>
      <c r="Y25" s="58"/>
      <c r="Z25" s="48">
        <f>+D25</f>
        <v>12</v>
      </c>
      <c r="AA25" s="49" t="str">
        <f>(Y24-AD25)/Y24</f>
        <v>#ERROR!</v>
      </c>
      <c r="AB25" s="59" t="str">
        <f>F25-(F25*15%)</f>
        <v>#ERROR!</v>
      </c>
      <c r="AC25" s="51" t="str">
        <f>(AD25-AB25)/(Z25-1)</f>
        <v>#ERROR!</v>
      </c>
      <c r="AD25" s="51" t="str">
        <f t="shared" si="11"/>
        <v>#ERROR!</v>
      </c>
      <c r="AE25" s="53" t="str">
        <f>AD25/AF24</f>
        <v>#ERROR!</v>
      </c>
      <c r="AF25" s="60">
        <f>AF24/Z25</f>
        <v>27</v>
      </c>
      <c r="AG25" s="35"/>
      <c r="AH25" s="85"/>
      <c r="AI25" s="31"/>
      <c r="AJ25" s="58"/>
      <c r="AK25" s="48">
        <f>+D25</f>
        <v>12</v>
      </c>
      <c r="AL25" s="49" t="str">
        <f>(AJ24-AO25)/AJ24</f>
        <v>#ERROR!</v>
      </c>
      <c r="AM25" s="59" t="str">
        <f>F25-(F25*20%)</f>
        <v>#ERROR!</v>
      </c>
      <c r="AN25" s="51" t="str">
        <f>(AO25-AM25)/(AK25-1)</f>
        <v>#ERROR!</v>
      </c>
      <c r="AO25" s="51" t="str">
        <f t="shared" si="12"/>
        <v>#ERROR!</v>
      </c>
      <c r="AP25" s="51" t="str">
        <f>AO25/AQ24</f>
        <v>#ERROR!</v>
      </c>
      <c r="AQ25" s="60">
        <f>AQ24/AK25</f>
        <v>27</v>
      </c>
      <c r="AR25" s="35"/>
      <c r="AS25" s="21"/>
    </row>
    <row r="26" ht="14.25" customHeight="1">
      <c r="A26" s="12"/>
      <c r="B26" s="31"/>
      <c r="C26" s="12"/>
      <c r="D26" s="12"/>
      <c r="E26" s="12"/>
      <c r="F26" s="12"/>
      <c r="G26" s="12"/>
      <c r="H26" s="12"/>
      <c r="I26" s="21"/>
      <c r="J26" s="12"/>
      <c r="K26" s="35"/>
      <c r="L26" s="12"/>
      <c r="M26" s="31"/>
      <c r="N26" s="12"/>
      <c r="O26" s="12"/>
      <c r="P26" s="12"/>
      <c r="Q26" s="12"/>
      <c r="R26" s="12"/>
      <c r="S26" s="12"/>
      <c r="T26" s="12"/>
      <c r="U26" s="12"/>
      <c r="V26" s="35"/>
      <c r="W26" s="85"/>
      <c r="X26" s="31"/>
      <c r="Y26" s="12"/>
      <c r="Z26" s="12"/>
      <c r="AA26" s="12"/>
      <c r="AB26" s="12"/>
      <c r="AC26" s="12"/>
      <c r="AD26" s="12"/>
      <c r="AE26" s="12"/>
      <c r="AF26" s="12"/>
      <c r="AG26" s="35"/>
      <c r="AH26" s="12"/>
      <c r="AI26" s="31"/>
      <c r="AJ26" s="12"/>
      <c r="AK26" s="12"/>
      <c r="AL26" s="12"/>
      <c r="AM26" s="12"/>
      <c r="AN26" s="12"/>
      <c r="AO26" s="12"/>
      <c r="AP26" s="12"/>
      <c r="AQ26" s="12"/>
      <c r="AR26" s="35"/>
      <c r="AS26" s="85"/>
    </row>
    <row r="27" ht="33.75" customHeight="1">
      <c r="A27" s="12"/>
      <c r="B27" s="31"/>
      <c r="C27" s="40" t="s">
        <v>105</v>
      </c>
      <c r="D27" s="4"/>
      <c r="E27" s="4"/>
      <c r="F27" s="4"/>
      <c r="G27" s="4"/>
      <c r="H27" s="4"/>
      <c r="I27" s="4"/>
      <c r="J27" s="5"/>
      <c r="K27" s="35"/>
      <c r="L27" s="12"/>
      <c r="M27" s="31"/>
      <c r="N27" s="40" t="s">
        <v>105</v>
      </c>
      <c r="O27" s="4"/>
      <c r="P27" s="4"/>
      <c r="Q27" s="4"/>
      <c r="R27" s="4"/>
      <c r="S27" s="4"/>
      <c r="T27" s="4"/>
      <c r="U27" s="5"/>
      <c r="V27" s="35"/>
      <c r="W27" s="12"/>
      <c r="X27" s="31"/>
      <c r="Y27" s="40" t="s">
        <v>105</v>
      </c>
      <c r="Z27" s="4"/>
      <c r="AA27" s="4"/>
      <c r="AB27" s="4"/>
      <c r="AC27" s="4"/>
      <c r="AD27" s="4"/>
      <c r="AE27" s="4"/>
      <c r="AF27" s="5"/>
      <c r="AG27" s="35"/>
      <c r="AH27" s="63"/>
      <c r="AI27" s="31"/>
      <c r="AJ27" s="40" t="s">
        <v>105</v>
      </c>
      <c r="AK27" s="4"/>
      <c r="AL27" s="4"/>
      <c r="AM27" s="4"/>
      <c r="AN27" s="4"/>
      <c r="AO27" s="4"/>
      <c r="AP27" s="4"/>
      <c r="AQ27" s="5"/>
      <c r="AR27" s="35"/>
      <c r="AS27" s="12"/>
    </row>
    <row r="28" ht="14.25" customHeight="1">
      <c r="A28" s="12"/>
      <c r="B28" s="31"/>
      <c r="C28" s="115" t="s">
        <v>30</v>
      </c>
      <c r="D28" s="42" t="s">
        <v>31</v>
      </c>
      <c r="E28" s="42" t="s">
        <v>32</v>
      </c>
      <c r="F28" s="43" t="s">
        <v>33</v>
      </c>
      <c r="G28" s="43" t="s">
        <v>34</v>
      </c>
      <c r="H28" s="42" t="s">
        <v>35</v>
      </c>
      <c r="I28" s="44" t="s">
        <v>36</v>
      </c>
      <c r="J28" s="45" t="s">
        <v>37</v>
      </c>
      <c r="K28" s="35"/>
      <c r="L28" s="12"/>
      <c r="M28" s="31"/>
      <c r="N28" s="115" t="s">
        <v>30</v>
      </c>
      <c r="O28" s="42" t="s">
        <v>31</v>
      </c>
      <c r="P28" s="42" t="s">
        <v>32</v>
      </c>
      <c r="Q28" s="43" t="s">
        <v>33</v>
      </c>
      <c r="R28" s="43" t="s">
        <v>34</v>
      </c>
      <c r="S28" s="42" t="s">
        <v>35</v>
      </c>
      <c r="T28" s="67" t="s">
        <v>36</v>
      </c>
      <c r="U28" s="45" t="s">
        <v>37</v>
      </c>
      <c r="V28" s="35"/>
      <c r="W28" s="63"/>
      <c r="X28" s="31"/>
      <c r="Y28" s="115" t="s">
        <v>30</v>
      </c>
      <c r="Z28" s="42" t="s">
        <v>31</v>
      </c>
      <c r="AA28" s="42" t="s">
        <v>32</v>
      </c>
      <c r="AB28" s="43" t="s">
        <v>33</v>
      </c>
      <c r="AC28" s="43" t="s">
        <v>34</v>
      </c>
      <c r="AD28" s="42" t="s">
        <v>35</v>
      </c>
      <c r="AE28" s="44" t="s">
        <v>36</v>
      </c>
      <c r="AF28" s="45" t="s">
        <v>37</v>
      </c>
      <c r="AG28" s="35"/>
      <c r="AH28" s="69"/>
      <c r="AI28" s="31"/>
      <c r="AJ28" s="118" t="s">
        <v>30</v>
      </c>
      <c r="AK28" s="43" t="s">
        <v>31</v>
      </c>
      <c r="AL28" s="43" t="s">
        <v>32</v>
      </c>
      <c r="AM28" s="43" t="s">
        <v>33</v>
      </c>
      <c r="AN28" s="43" t="s">
        <v>34</v>
      </c>
      <c r="AO28" s="43" t="s">
        <v>35</v>
      </c>
      <c r="AP28" s="65" t="s">
        <v>36</v>
      </c>
      <c r="AQ28" s="45" t="s">
        <v>37</v>
      </c>
      <c r="AR28" s="35"/>
      <c r="AS28" s="63"/>
    </row>
    <row r="29" ht="14.25" customHeight="1">
      <c r="A29" s="12"/>
      <c r="B29" s="31"/>
      <c r="C29" s="124" t="str">
        <f>SUM(C8+C13)</f>
        <v>#ERROR!</v>
      </c>
      <c r="D29" s="48">
        <v>1.0</v>
      </c>
      <c r="E29" s="57">
        <v>0.3</v>
      </c>
      <c r="F29" s="51" t="str">
        <f>H29</f>
        <v>#ERROR!</v>
      </c>
      <c r="G29" s="51">
        <v>0.0</v>
      </c>
      <c r="H29" s="51" t="str">
        <f>C29-(C29*E29)</f>
        <v>#ERROR!</v>
      </c>
      <c r="I29" s="53" t="str">
        <f>H29/J29</f>
        <v>#ERROR!</v>
      </c>
      <c r="J29" s="48">
        <v>340.0</v>
      </c>
      <c r="K29" s="35"/>
      <c r="L29" s="12"/>
      <c r="M29" s="31"/>
      <c r="N29" s="124" t="str">
        <f>SUM(N8+N13)</f>
        <v>#ERROR!</v>
      </c>
      <c r="O29" s="48">
        <v>1.0</v>
      </c>
      <c r="P29" s="49" t="str">
        <f>(N29-S29)/N29</f>
        <v>#ERROR!</v>
      </c>
      <c r="Q29" s="51" t="str">
        <f>S29</f>
        <v>#ERROR!</v>
      </c>
      <c r="R29" s="51">
        <v>0.0</v>
      </c>
      <c r="S29" s="51" t="str">
        <f t="shared" ref="S29:S30" si="13">H29*0.9</f>
        <v>#ERROR!</v>
      </c>
      <c r="T29" s="51" t="str">
        <f>S29/U29</f>
        <v>#ERROR!</v>
      </c>
      <c r="U29" s="48">
        <v>340.0</v>
      </c>
      <c r="V29" s="35"/>
      <c r="W29" s="69"/>
      <c r="X29" s="31"/>
      <c r="Y29" s="124" t="str">
        <f>SUM(Y8+Y13)</f>
        <v>#ERROR!</v>
      </c>
      <c r="Z29" s="48">
        <v>1.0</v>
      </c>
      <c r="AA29" s="49" t="str">
        <f>(Y29-AD29)/Y29</f>
        <v>#ERROR!</v>
      </c>
      <c r="AB29" s="51" t="str">
        <f>AD29</f>
        <v>#ERROR!</v>
      </c>
      <c r="AC29" s="51">
        <v>0.0</v>
      </c>
      <c r="AD29" s="51" t="str">
        <f t="shared" ref="AD29:AD30" si="14">H29*0.85</f>
        <v>#ERROR!</v>
      </c>
      <c r="AE29" s="53" t="str">
        <f>AD29/AF29</f>
        <v>#ERROR!</v>
      </c>
      <c r="AF29" s="48">
        <v>340.0</v>
      </c>
      <c r="AG29" s="35"/>
      <c r="AH29" s="21"/>
      <c r="AI29" s="31"/>
      <c r="AJ29" s="124" t="str">
        <f>SUM(AJ8+AJ13)</f>
        <v>#ERROR!</v>
      </c>
      <c r="AK29" s="48">
        <v>1.0</v>
      </c>
      <c r="AL29" s="49" t="str">
        <f>(AJ29-AO29)/AJ29</f>
        <v>#ERROR!</v>
      </c>
      <c r="AM29" s="51" t="str">
        <f>AO29</f>
        <v>#ERROR!</v>
      </c>
      <c r="AN29" s="51">
        <v>0.0</v>
      </c>
      <c r="AO29" s="51" t="str">
        <f t="shared" ref="AO29:AO30" si="15">H29*0.8</f>
        <v>#ERROR!</v>
      </c>
      <c r="AP29" s="51" t="str">
        <f>AO29/AQ29</f>
        <v>#ERROR!</v>
      </c>
      <c r="AQ29" s="48">
        <v>340.0</v>
      </c>
      <c r="AR29" s="35"/>
      <c r="AS29" s="69"/>
    </row>
    <row r="30" ht="14.25" customHeight="1">
      <c r="A30" s="12"/>
      <c r="B30" s="31"/>
      <c r="C30" s="58"/>
      <c r="D30" s="48">
        <v>12.0</v>
      </c>
      <c r="E30" s="57">
        <v>0.05</v>
      </c>
      <c r="F30" s="59" t="str">
        <f>H30/D30</f>
        <v>#ERROR!</v>
      </c>
      <c r="G30" s="51" t="str">
        <f>(H30-F30)/(D30-1)</f>
        <v>#ERROR!</v>
      </c>
      <c r="H30" s="51" t="str">
        <f>C29-(C29*E30)</f>
        <v>#ERROR!</v>
      </c>
      <c r="I30" s="53" t="str">
        <f>H30/J29</f>
        <v>#ERROR!</v>
      </c>
      <c r="J30" s="60">
        <f>J29/D30</f>
        <v>28.33333333</v>
      </c>
      <c r="K30" s="35"/>
      <c r="L30" s="12"/>
      <c r="M30" s="31"/>
      <c r="N30" s="58"/>
      <c r="O30" s="48">
        <f>+D30</f>
        <v>12</v>
      </c>
      <c r="P30" s="49" t="str">
        <f>(N29-S30)/N29</f>
        <v>#ERROR!</v>
      </c>
      <c r="Q30" s="59" t="str">
        <f>F30-(F30*10%)</f>
        <v>#ERROR!</v>
      </c>
      <c r="R30" s="51" t="str">
        <f>(S30-Q30)/(O30-1)</f>
        <v>#ERROR!</v>
      </c>
      <c r="S30" s="51" t="str">
        <f t="shared" si="13"/>
        <v>#ERROR!</v>
      </c>
      <c r="T30" s="51" t="str">
        <f>S30/U29</f>
        <v>#ERROR!</v>
      </c>
      <c r="U30" s="60">
        <f>U29/O30</f>
        <v>28.33333333</v>
      </c>
      <c r="V30" s="35"/>
      <c r="W30" s="21"/>
      <c r="X30" s="31"/>
      <c r="Y30" s="58"/>
      <c r="Z30" s="48">
        <f>+D30</f>
        <v>12</v>
      </c>
      <c r="AA30" s="49" t="str">
        <f>(Y29-AD30)/Y29</f>
        <v>#ERROR!</v>
      </c>
      <c r="AB30" s="59" t="str">
        <f>F30-(F30*15%)</f>
        <v>#ERROR!</v>
      </c>
      <c r="AC30" s="51" t="str">
        <f>(AD30-AB30)/(Z30-1)</f>
        <v>#ERROR!</v>
      </c>
      <c r="AD30" s="51" t="str">
        <f t="shared" si="14"/>
        <v>#ERROR!</v>
      </c>
      <c r="AE30" s="53" t="str">
        <f>AD30/AF29</f>
        <v>#ERROR!</v>
      </c>
      <c r="AF30" s="60">
        <f>AF29/Z30</f>
        <v>28.33333333</v>
      </c>
      <c r="AG30" s="35"/>
      <c r="AH30" s="85"/>
      <c r="AI30" s="31"/>
      <c r="AJ30" s="58"/>
      <c r="AK30" s="48">
        <f>+D30</f>
        <v>12</v>
      </c>
      <c r="AL30" s="49" t="str">
        <f>(AJ29-AO30)/AJ29</f>
        <v>#ERROR!</v>
      </c>
      <c r="AM30" s="59" t="str">
        <f>F30-(F30*20%)</f>
        <v>#ERROR!</v>
      </c>
      <c r="AN30" s="51" t="str">
        <f>(AO30-AM30)/(AK30-1)</f>
        <v>#ERROR!</v>
      </c>
      <c r="AO30" s="51" t="str">
        <f t="shared" si="15"/>
        <v>#ERROR!</v>
      </c>
      <c r="AP30" s="51" t="str">
        <f>AO30/AQ29</f>
        <v>#ERROR!</v>
      </c>
      <c r="AQ30" s="60">
        <f>AQ29/AK30</f>
        <v>28.33333333</v>
      </c>
      <c r="AR30" s="35"/>
      <c r="AS30" s="21"/>
    </row>
    <row r="31" ht="14.25" customHeight="1">
      <c r="A31" s="12"/>
      <c r="B31" s="31"/>
      <c r="C31" s="12"/>
      <c r="D31" s="12"/>
      <c r="E31" s="12"/>
      <c r="F31" s="12"/>
      <c r="G31" s="62"/>
      <c r="H31" s="12"/>
      <c r="I31" s="21"/>
      <c r="J31" s="12"/>
      <c r="K31" s="35"/>
      <c r="L31" s="12"/>
      <c r="M31" s="31"/>
      <c r="N31" s="12"/>
      <c r="O31" s="12"/>
      <c r="P31" s="12"/>
      <c r="Q31" s="12"/>
      <c r="R31" s="12"/>
      <c r="S31" s="12"/>
      <c r="T31" s="12"/>
      <c r="U31" s="12"/>
      <c r="V31" s="35"/>
      <c r="W31" s="85"/>
      <c r="X31" s="31"/>
      <c r="Y31" s="12"/>
      <c r="Z31" s="12"/>
      <c r="AA31" s="12"/>
      <c r="AB31" s="12"/>
      <c r="AC31" s="12"/>
      <c r="AD31" s="12"/>
      <c r="AE31" s="12"/>
      <c r="AF31" s="12"/>
      <c r="AG31" s="35"/>
      <c r="AH31" s="12"/>
      <c r="AI31" s="31"/>
      <c r="AJ31" s="12"/>
      <c r="AK31" s="12"/>
      <c r="AL31" s="12"/>
      <c r="AM31" s="12"/>
      <c r="AN31" s="12"/>
      <c r="AO31" s="12"/>
      <c r="AP31" s="12"/>
      <c r="AQ31" s="12"/>
      <c r="AR31" s="35"/>
      <c r="AS31" s="85"/>
    </row>
    <row r="32" ht="34.5" customHeight="1">
      <c r="A32" s="12"/>
      <c r="B32" s="31"/>
      <c r="C32" s="40" t="s">
        <v>106</v>
      </c>
      <c r="D32" s="4"/>
      <c r="E32" s="4"/>
      <c r="F32" s="4"/>
      <c r="G32" s="4"/>
      <c r="H32" s="4"/>
      <c r="I32" s="4"/>
      <c r="J32" s="5"/>
      <c r="K32" s="35"/>
      <c r="L32" s="12"/>
      <c r="M32" s="31"/>
      <c r="N32" s="40" t="s">
        <v>106</v>
      </c>
      <c r="O32" s="4"/>
      <c r="P32" s="4"/>
      <c r="Q32" s="4"/>
      <c r="R32" s="4"/>
      <c r="S32" s="4"/>
      <c r="T32" s="4"/>
      <c r="U32" s="5"/>
      <c r="V32" s="35"/>
      <c r="W32" s="12"/>
      <c r="X32" s="31"/>
      <c r="Y32" s="40" t="s">
        <v>106</v>
      </c>
      <c r="Z32" s="4"/>
      <c r="AA32" s="4"/>
      <c r="AB32" s="4"/>
      <c r="AC32" s="4"/>
      <c r="AD32" s="4"/>
      <c r="AE32" s="4"/>
      <c r="AF32" s="5"/>
      <c r="AG32" s="35"/>
      <c r="AH32" s="63"/>
      <c r="AI32" s="31"/>
      <c r="AJ32" s="40" t="s">
        <v>106</v>
      </c>
      <c r="AK32" s="4"/>
      <c r="AL32" s="4"/>
      <c r="AM32" s="4"/>
      <c r="AN32" s="4"/>
      <c r="AO32" s="4"/>
      <c r="AP32" s="4"/>
      <c r="AQ32" s="5"/>
      <c r="AR32" s="35"/>
      <c r="AS32" s="12"/>
    </row>
    <row r="33" ht="14.25" customHeight="1">
      <c r="A33" s="12"/>
      <c r="B33" s="31"/>
      <c r="C33" s="115" t="s">
        <v>30</v>
      </c>
      <c r="D33" s="42" t="s">
        <v>31</v>
      </c>
      <c r="E33" s="42" t="s">
        <v>32</v>
      </c>
      <c r="F33" s="43" t="s">
        <v>33</v>
      </c>
      <c r="G33" s="43" t="s">
        <v>34</v>
      </c>
      <c r="H33" s="42" t="s">
        <v>35</v>
      </c>
      <c r="I33" s="44" t="s">
        <v>36</v>
      </c>
      <c r="J33" s="45" t="s">
        <v>37</v>
      </c>
      <c r="K33" s="35"/>
      <c r="L33" s="12"/>
      <c r="M33" s="31"/>
      <c r="N33" s="115" t="s">
        <v>30</v>
      </c>
      <c r="O33" s="42" t="s">
        <v>31</v>
      </c>
      <c r="P33" s="42" t="s">
        <v>32</v>
      </c>
      <c r="Q33" s="43" t="s">
        <v>33</v>
      </c>
      <c r="R33" s="43" t="s">
        <v>34</v>
      </c>
      <c r="S33" s="42" t="s">
        <v>35</v>
      </c>
      <c r="T33" s="67" t="s">
        <v>36</v>
      </c>
      <c r="U33" s="45" t="s">
        <v>37</v>
      </c>
      <c r="V33" s="35"/>
      <c r="W33" s="63"/>
      <c r="X33" s="31"/>
      <c r="Y33" s="115" t="s">
        <v>30</v>
      </c>
      <c r="Z33" s="42" t="s">
        <v>31</v>
      </c>
      <c r="AA33" s="42" t="s">
        <v>32</v>
      </c>
      <c r="AB33" s="43" t="s">
        <v>33</v>
      </c>
      <c r="AC33" s="43" t="s">
        <v>34</v>
      </c>
      <c r="AD33" s="42" t="s">
        <v>35</v>
      </c>
      <c r="AE33" s="44" t="s">
        <v>36</v>
      </c>
      <c r="AF33" s="45" t="s">
        <v>37</v>
      </c>
      <c r="AG33" s="35"/>
      <c r="AH33" s="69"/>
      <c r="AI33" s="31"/>
      <c r="AJ33" s="118" t="s">
        <v>30</v>
      </c>
      <c r="AK33" s="43" t="s">
        <v>31</v>
      </c>
      <c r="AL33" s="43" t="s">
        <v>32</v>
      </c>
      <c r="AM33" s="43" t="s">
        <v>33</v>
      </c>
      <c r="AN33" s="43" t="s">
        <v>34</v>
      </c>
      <c r="AO33" s="43" t="s">
        <v>35</v>
      </c>
      <c r="AP33" s="65" t="s">
        <v>36</v>
      </c>
      <c r="AQ33" s="45" t="s">
        <v>37</v>
      </c>
      <c r="AR33" s="35"/>
      <c r="AS33" s="63"/>
    </row>
    <row r="34" ht="14.25" customHeight="1">
      <c r="A34" s="12"/>
      <c r="B34" s="31"/>
      <c r="C34" s="124" t="str">
        <f>SUM(C13+C18)</f>
        <v>#ERROR!</v>
      </c>
      <c r="D34" s="48">
        <v>1.0</v>
      </c>
      <c r="E34" s="57">
        <v>0.3</v>
      </c>
      <c r="F34" s="51" t="str">
        <f>H34</f>
        <v>#ERROR!</v>
      </c>
      <c r="G34" s="51">
        <v>0.0</v>
      </c>
      <c r="H34" s="51" t="str">
        <f>C34-(C34*E34)</f>
        <v>#ERROR!</v>
      </c>
      <c r="I34" s="53" t="str">
        <f>H34/J34</f>
        <v>#ERROR!</v>
      </c>
      <c r="J34" s="48">
        <v>380.0</v>
      </c>
      <c r="K34" s="35"/>
      <c r="L34" s="12"/>
      <c r="M34" s="31"/>
      <c r="N34" s="124" t="str">
        <f>SUM(N13+N18)</f>
        <v>#ERROR!</v>
      </c>
      <c r="O34" s="48">
        <v>1.0</v>
      </c>
      <c r="P34" s="49" t="str">
        <f>(N34-S34)/N34</f>
        <v>#ERROR!</v>
      </c>
      <c r="Q34" s="51" t="str">
        <f>S34</f>
        <v>#ERROR!</v>
      </c>
      <c r="R34" s="51">
        <v>0.0</v>
      </c>
      <c r="S34" s="51" t="str">
        <f t="shared" ref="S34:S35" si="16">H34*0.9</f>
        <v>#ERROR!</v>
      </c>
      <c r="T34" s="51" t="str">
        <f>S34/U34</f>
        <v>#ERROR!</v>
      </c>
      <c r="U34" s="48">
        <v>380.0</v>
      </c>
      <c r="V34" s="35"/>
      <c r="W34" s="69"/>
      <c r="X34" s="31"/>
      <c r="Y34" s="124" t="str">
        <f>SUM(Y13+Y18)</f>
        <v>#ERROR!</v>
      </c>
      <c r="Z34" s="48">
        <v>1.0</v>
      </c>
      <c r="AA34" s="49" t="str">
        <f>(Y34-AD34)/Y34</f>
        <v>#ERROR!</v>
      </c>
      <c r="AB34" s="51" t="str">
        <f>AD34</f>
        <v>#ERROR!</v>
      </c>
      <c r="AC34" s="51">
        <v>0.0</v>
      </c>
      <c r="AD34" s="51" t="str">
        <f t="shared" ref="AD34:AD35" si="17">H34*0.85</f>
        <v>#ERROR!</v>
      </c>
      <c r="AE34" s="53" t="str">
        <f>AD34/AF34</f>
        <v>#ERROR!</v>
      </c>
      <c r="AF34" s="48">
        <v>380.0</v>
      </c>
      <c r="AG34" s="35"/>
      <c r="AH34" s="21"/>
      <c r="AI34" s="31"/>
      <c r="AJ34" s="124" t="str">
        <f>SUM(AJ13+AJ18)</f>
        <v>#ERROR!</v>
      </c>
      <c r="AK34" s="48">
        <v>1.0</v>
      </c>
      <c r="AL34" s="49" t="str">
        <f>(AJ34-AO34)/AJ34</f>
        <v>#ERROR!</v>
      </c>
      <c r="AM34" s="51" t="str">
        <f>AO34</f>
        <v>#ERROR!</v>
      </c>
      <c r="AN34" s="51">
        <v>0.0</v>
      </c>
      <c r="AO34" s="51" t="str">
        <f t="shared" ref="AO34:AO35" si="18">H34*0.8</f>
        <v>#ERROR!</v>
      </c>
      <c r="AP34" s="51" t="str">
        <f>AO34/AQ34</f>
        <v>#ERROR!</v>
      </c>
      <c r="AQ34" s="48">
        <v>380.0</v>
      </c>
      <c r="AR34" s="35"/>
      <c r="AS34" s="69"/>
    </row>
    <row r="35" ht="14.25" customHeight="1">
      <c r="A35" s="12"/>
      <c r="B35" s="31"/>
      <c r="C35" s="58"/>
      <c r="D35" s="48">
        <v>12.0</v>
      </c>
      <c r="E35" s="57">
        <v>0.05</v>
      </c>
      <c r="F35" s="59" t="str">
        <f>H35/D35</f>
        <v>#ERROR!</v>
      </c>
      <c r="G35" s="51" t="str">
        <f>(H35-F35)/(D35-1)</f>
        <v>#ERROR!</v>
      </c>
      <c r="H35" s="51" t="str">
        <f>C34-(C34*E35)</f>
        <v>#ERROR!</v>
      </c>
      <c r="I35" s="53" t="str">
        <f>H35/J34</f>
        <v>#ERROR!</v>
      </c>
      <c r="J35" s="60">
        <f>J34/D35</f>
        <v>31.66666667</v>
      </c>
      <c r="K35" s="35"/>
      <c r="L35" s="12"/>
      <c r="M35" s="31"/>
      <c r="N35" s="58"/>
      <c r="O35" s="48">
        <f>+D35</f>
        <v>12</v>
      </c>
      <c r="P35" s="49" t="str">
        <f>(N34-S35)/N34</f>
        <v>#ERROR!</v>
      </c>
      <c r="Q35" s="59" t="str">
        <f>F35-(F35*10%)</f>
        <v>#ERROR!</v>
      </c>
      <c r="R35" s="51" t="str">
        <f>(S35-Q35)/(O35-1)</f>
        <v>#ERROR!</v>
      </c>
      <c r="S35" s="51" t="str">
        <f t="shared" si="16"/>
        <v>#ERROR!</v>
      </c>
      <c r="T35" s="51" t="str">
        <f>S35/U34</f>
        <v>#ERROR!</v>
      </c>
      <c r="U35" s="60">
        <f>U34/O35</f>
        <v>31.66666667</v>
      </c>
      <c r="V35" s="35"/>
      <c r="W35" s="21"/>
      <c r="X35" s="31"/>
      <c r="Y35" s="58"/>
      <c r="Z35" s="48">
        <f>+D35</f>
        <v>12</v>
      </c>
      <c r="AA35" s="49" t="str">
        <f>(Y34-AD35)/Y34</f>
        <v>#ERROR!</v>
      </c>
      <c r="AB35" s="59" t="str">
        <f>F35-(F35*15%)</f>
        <v>#ERROR!</v>
      </c>
      <c r="AC35" s="51" t="str">
        <f>(AD35-AB35)/(Z35-1)</f>
        <v>#ERROR!</v>
      </c>
      <c r="AD35" s="51" t="str">
        <f t="shared" si="17"/>
        <v>#ERROR!</v>
      </c>
      <c r="AE35" s="53" t="str">
        <f>AD35/AF34</f>
        <v>#ERROR!</v>
      </c>
      <c r="AF35" s="60">
        <f>AF34/Z35</f>
        <v>31.66666667</v>
      </c>
      <c r="AG35" s="35"/>
      <c r="AH35" s="85"/>
      <c r="AI35" s="31"/>
      <c r="AJ35" s="58"/>
      <c r="AK35" s="48">
        <f>+D35</f>
        <v>12</v>
      </c>
      <c r="AL35" s="49" t="str">
        <f>(AJ34-AO35)/AJ34</f>
        <v>#ERROR!</v>
      </c>
      <c r="AM35" s="59" t="str">
        <f>F35-(F35*20%)</f>
        <v>#ERROR!</v>
      </c>
      <c r="AN35" s="51" t="str">
        <f>(AO35-AM35)/(AK35-1)</f>
        <v>#ERROR!</v>
      </c>
      <c r="AO35" s="51" t="str">
        <f t="shared" si="18"/>
        <v>#ERROR!</v>
      </c>
      <c r="AP35" s="51" t="str">
        <f>AO35/AQ34</f>
        <v>#ERROR!</v>
      </c>
      <c r="AQ35" s="60">
        <f>AQ34/AK35</f>
        <v>31.66666667</v>
      </c>
      <c r="AR35" s="35"/>
      <c r="AS35" s="21"/>
    </row>
    <row r="36" ht="14.25" customHeight="1">
      <c r="A36" s="12"/>
      <c r="B36" s="31"/>
      <c r="C36" s="12"/>
      <c r="D36" s="12"/>
      <c r="E36" s="12"/>
      <c r="F36" s="12"/>
      <c r="G36" s="12"/>
      <c r="H36" s="12"/>
      <c r="I36" s="21"/>
      <c r="J36" s="12"/>
      <c r="K36" s="35"/>
      <c r="L36" s="12"/>
      <c r="M36" s="31"/>
      <c r="N36" s="12"/>
      <c r="O36" s="12"/>
      <c r="P36" s="12"/>
      <c r="Q36" s="12"/>
      <c r="R36" s="12"/>
      <c r="S36" s="12"/>
      <c r="T36" s="12"/>
      <c r="U36" s="12"/>
      <c r="V36" s="35"/>
      <c r="W36" s="85"/>
      <c r="X36" s="31"/>
      <c r="Y36" s="12"/>
      <c r="Z36" s="12"/>
      <c r="AA36" s="12"/>
      <c r="AB36" s="12"/>
      <c r="AC36" s="12"/>
      <c r="AD36" s="12"/>
      <c r="AE36" s="12"/>
      <c r="AF36" s="12"/>
      <c r="AG36" s="35"/>
      <c r="AH36" s="12"/>
      <c r="AI36" s="31"/>
      <c r="AJ36" s="12"/>
      <c r="AK36" s="12"/>
      <c r="AL36" s="12"/>
      <c r="AM36" s="12"/>
      <c r="AN36" s="12"/>
      <c r="AO36" s="12"/>
      <c r="AP36" s="12"/>
      <c r="AQ36" s="12"/>
      <c r="AR36" s="35"/>
      <c r="AS36" s="85"/>
    </row>
    <row r="37" ht="32.25" customHeight="1">
      <c r="A37" s="12"/>
      <c r="B37" s="31"/>
      <c r="C37" s="40" t="s">
        <v>143</v>
      </c>
      <c r="D37" s="4"/>
      <c r="E37" s="4"/>
      <c r="F37" s="4"/>
      <c r="G37" s="4"/>
      <c r="H37" s="4"/>
      <c r="I37" s="4"/>
      <c r="J37" s="5"/>
      <c r="K37" s="35"/>
      <c r="L37" s="12"/>
      <c r="M37" s="31"/>
      <c r="N37" s="40" t="s">
        <v>143</v>
      </c>
      <c r="O37" s="4"/>
      <c r="P37" s="4"/>
      <c r="Q37" s="4"/>
      <c r="R37" s="4"/>
      <c r="S37" s="4"/>
      <c r="T37" s="4"/>
      <c r="U37" s="5"/>
      <c r="V37" s="35"/>
      <c r="W37" s="12"/>
      <c r="X37" s="31"/>
      <c r="Y37" s="40" t="s">
        <v>143</v>
      </c>
      <c r="Z37" s="4"/>
      <c r="AA37" s="4"/>
      <c r="AB37" s="4"/>
      <c r="AC37" s="4"/>
      <c r="AD37" s="4"/>
      <c r="AE37" s="4"/>
      <c r="AF37" s="5"/>
      <c r="AG37" s="35"/>
      <c r="AH37" s="63"/>
      <c r="AI37" s="31"/>
      <c r="AJ37" s="40" t="s">
        <v>143</v>
      </c>
      <c r="AK37" s="4"/>
      <c r="AL37" s="4"/>
      <c r="AM37" s="4"/>
      <c r="AN37" s="4"/>
      <c r="AO37" s="4"/>
      <c r="AP37" s="4"/>
      <c r="AQ37" s="5"/>
      <c r="AR37" s="35"/>
      <c r="AS37" s="12"/>
    </row>
    <row r="38" ht="14.25" customHeight="1">
      <c r="A38" s="12"/>
      <c r="B38" s="31"/>
      <c r="C38" s="115" t="s">
        <v>30</v>
      </c>
      <c r="D38" s="42" t="s">
        <v>31</v>
      </c>
      <c r="E38" s="42" t="s">
        <v>32</v>
      </c>
      <c r="F38" s="43" t="s">
        <v>33</v>
      </c>
      <c r="G38" s="43" t="s">
        <v>34</v>
      </c>
      <c r="H38" s="42" t="s">
        <v>35</v>
      </c>
      <c r="I38" s="44" t="s">
        <v>36</v>
      </c>
      <c r="J38" s="45" t="s">
        <v>37</v>
      </c>
      <c r="K38" s="35"/>
      <c r="L38" s="12"/>
      <c r="M38" s="31"/>
      <c r="N38" s="115" t="s">
        <v>30</v>
      </c>
      <c r="O38" s="42" t="s">
        <v>31</v>
      </c>
      <c r="P38" s="42" t="s">
        <v>32</v>
      </c>
      <c r="Q38" s="43" t="s">
        <v>33</v>
      </c>
      <c r="R38" s="43" t="s">
        <v>34</v>
      </c>
      <c r="S38" s="42" t="s">
        <v>35</v>
      </c>
      <c r="T38" s="67" t="s">
        <v>36</v>
      </c>
      <c r="U38" s="45" t="s">
        <v>37</v>
      </c>
      <c r="V38" s="35"/>
      <c r="W38" s="63"/>
      <c r="X38" s="31"/>
      <c r="Y38" s="115" t="s">
        <v>30</v>
      </c>
      <c r="Z38" s="42" t="s">
        <v>31</v>
      </c>
      <c r="AA38" s="42" t="s">
        <v>32</v>
      </c>
      <c r="AB38" s="43" t="s">
        <v>33</v>
      </c>
      <c r="AC38" s="43" t="s">
        <v>34</v>
      </c>
      <c r="AD38" s="42" t="s">
        <v>35</v>
      </c>
      <c r="AE38" s="44" t="s">
        <v>36</v>
      </c>
      <c r="AF38" s="45" t="s">
        <v>37</v>
      </c>
      <c r="AG38" s="35"/>
      <c r="AH38" s="69"/>
      <c r="AI38" s="31"/>
      <c r="AJ38" s="118" t="s">
        <v>30</v>
      </c>
      <c r="AK38" s="43" t="s">
        <v>31</v>
      </c>
      <c r="AL38" s="43" t="s">
        <v>32</v>
      </c>
      <c r="AM38" s="43" t="s">
        <v>33</v>
      </c>
      <c r="AN38" s="43" t="s">
        <v>34</v>
      </c>
      <c r="AO38" s="43" t="s">
        <v>35</v>
      </c>
      <c r="AP38" s="65" t="s">
        <v>36</v>
      </c>
      <c r="AQ38" s="45" t="s">
        <v>37</v>
      </c>
      <c r="AR38" s="35"/>
      <c r="AS38" s="63"/>
    </row>
    <row r="39" ht="14.25" customHeight="1">
      <c r="A39" s="12"/>
      <c r="B39" s="31"/>
      <c r="C39" s="124" t="str">
        <f>SUM(C18+C18)</f>
        <v>#ERROR!</v>
      </c>
      <c r="D39" s="48">
        <v>1.0</v>
      </c>
      <c r="E39" s="57">
        <v>0.3</v>
      </c>
      <c r="F39" s="51" t="str">
        <f>H39</f>
        <v>#ERROR!</v>
      </c>
      <c r="G39" s="51">
        <v>0.0</v>
      </c>
      <c r="H39" s="51" t="str">
        <f>C39-(C39*E39)</f>
        <v>#ERROR!</v>
      </c>
      <c r="I39" s="53" t="str">
        <f>H39/J39</f>
        <v>#ERROR!</v>
      </c>
      <c r="J39" s="48">
        <v>404.0</v>
      </c>
      <c r="K39" s="35"/>
      <c r="L39" s="12"/>
      <c r="M39" s="31"/>
      <c r="N39" s="124" t="str">
        <f>SUM(N18+N18)</f>
        <v>#ERROR!</v>
      </c>
      <c r="O39" s="48">
        <v>1.0</v>
      </c>
      <c r="P39" s="49" t="str">
        <f>(N39-S39)/N39</f>
        <v>#ERROR!</v>
      </c>
      <c r="Q39" s="51" t="str">
        <f>S39</f>
        <v>#ERROR!</v>
      </c>
      <c r="R39" s="51">
        <v>0.0</v>
      </c>
      <c r="S39" s="51" t="str">
        <f t="shared" ref="S39:S40" si="19">H39*0.9</f>
        <v>#ERROR!</v>
      </c>
      <c r="T39" s="51" t="str">
        <f>S39/U39</f>
        <v>#ERROR!</v>
      </c>
      <c r="U39" s="48">
        <v>404.0</v>
      </c>
      <c r="V39" s="35"/>
      <c r="W39" s="69"/>
      <c r="X39" s="31"/>
      <c r="Y39" s="124" t="str">
        <f>SUM(Y18+Y18)</f>
        <v>#ERROR!</v>
      </c>
      <c r="Z39" s="48">
        <v>1.0</v>
      </c>
      <c r="AA39" s="49" t="str">
        <f>(Y39-AD39)/Y39</f>
        <v>#ERROR!</v>
      </c>
      <c r="AB39" s="51" t="str">
        <f>AD39</f>
        <v>#ERROR!</v>
      </c>
      <c r="AC39" s="51">
        <v>0.0</v>
      </c>
      <c r="AD39" s="51" t="str">
        <f t="shared" ref="AD39:AD40" si="20">H39*0.85</f>
        <v>#ERROR!</v>
      </c>
      <c r="AE39" s="53" t="str">
        <f>AD39/AF39</f>
        <v>#ERROR!</v>
      </c>
      <c r="AF39" s="48">
        <v>404.0</v>
      </c>
      <c r="AG39" s="35"/>
      <c r="AH39" s="21"/>
      <c r="AI39" s="31"/>
      <c r="AJ39" s="124" t="str">
        <f>SUM(AJ18+AJ18)</f>
        <v>#ERROR!</v>
      </c>
      <c r="AK39" s="48">
        <v>1.0</v>
      </c>
      <c r="AL39" s="49" t="str">
        <f>(AJ39-AO39)/AJ39</f>
        <v>#ERROR!</v>
      </c>
      <c r="AM39" s="51" t="str">
        <f>AO39</f>
        <v>#ERROR!</v>
      </c>
      <c r="AN39" s="51">
        <v>0.0</v>
      </c>
      <c r="AO39" s="51" t="str">
        <f t="shared" ref="AO39:AO40" si="21">H39*0.8</f>
        <v>#ERROR!</v>
      </c>
      <c r="AP39" s="51" t="str">
        <f>AO39/AQ39</f>
        <v>#ERROR!</v>
      </c>
      <c r="AQ39" s="48">
        <v>404.0</v>
      </c>
      <c r="AR39" s="35"/>
      <c r="AS39" s="69"/>
    </row>
    <row r="40" ht="14.25" customHeight="1">
      <c r="A40" s="12"/>
      <c r="B40" s="31"/>
      <c r="C40" s="58"/>
      <c r="D40" s="48">
        <v>12.0</v>
      </c>
      <c r="E40" s="57">
        <v>0.05</v>
      </c>
      <c r="F40" s="59" t="str">
        <f>H40/D40</f>
        <v>#ERROR!</v>
      </c>
      <c r="G40" s="51" t="str">
        <f>(H40-F40)/(D40-1)</f>
        <v>#ERROR!</v>
      </c>
      <c r="H40" s="51" t="str">
        <f>C39-(C39*E40)</f>
        <v>#ERROR!</v>
      </c>
      <c r="I40" s="53" t="str">
        <f>H40/J39</f>
        <v>#ERROR!</v>
      </c>
      <c r="J40" s="60">
        <f>J39/D40</f>
        <v>33.66666667</v>
      </c>
      <c r="K40" s="35"/>
      <c r="L40" s="12"/>
      <c r="M40" s="31"/>
      <c r="N40" s="58"/>
      <c r="O40" s="48">
        <f>+D40</f>
        <v>12</v>
      </c>
      <c r="P40" s="49" t="str">
        <f>(N39-S40)/N39</f>
        <v>#ERROR!</v>
      </c>
      <c r="Q40" s="59" t="str">
        <f>F40-(F40*10%)</f>
        <v>#ERROR!</v>
      </c>
      <c r="R40" s="51" t="str">
        <f>(S40-Q40)/(O40-1)</f>
        <v>#ERROR!</v>
      </c>
      <c r="S40" s="51" t="str">
        <f t="shared" si="19"/>
        <v>#ERROR!</v>
      </c>
      <c r="T40" s="51" t="str">
        <f>S40/U39</f>
        <v>#ERROR!</v>
      </c>
      <c r="U40" s="60">
        <f>U39/O40</f>
        <v>33.66666667</v>
      </c>
      <c r="V40" s="35"/>
      <c r="W40" s="21"/>
      <c r="X40" s="31"/>
      <c r="Y40" s="58"/>
      <c r="Z40" s="48">
        <f>+D40</f>
        <v>12</v>
      </c>
      <c r="AA40" s="49" t="str">
        <f>(Y39-AD40)/Y39</f>
        <v>#ERROR!</v>
      </c>
      <c r="AB40" s="59" t="str">
        <f>F40-(F40*15%)</f>
        <v>#ERROR!</v>
      </c>
      <c r="AC40" s="51" t="str">
        <f>(AD40-AB40)/(Z40-1)</f>
        <v>#ERROR!</v>
      </c>
      <c r="AD40" s="51" t="str">
        <f t="shared" si="20"/>
        <v>#ERROR!</v>
      </c>
      <c r="AE40" s="53" t="str">
        <f>AD40/AF39</f>
        <v>#ERROR!</v>
      </c>
      <c r="AF40" s="60">
        <f>AF39/Z40</f>
        <v>33.66666667</v>
      </c>
      <c r="AG40" s="35"/>
      <c r="AH40" s="85"/>
      <c r="AI40" s="31"/>
      <c r="AJ40" s="58"/>
      <c r="AK40" s="48">
        <f>+D40</f>
        <v>12</v>
      </c>
      <c r="AL40" s="49" t="str">
        <f>(AJ39-AO40)/AJ39</f>
        <v>#ERROR!</v>
      </c>
      <c r="AM40" s="59" t="str">
        <f>F40-(F40*20%)</f>
        <v>#ERROR!</v>
      </c>
      <c r="AN40" s="51" t="str">
        <f>(AO40-AM40)/(AK40-1)</f>
        <v>#ERROR!</v>
      </c>
      <c r="AO40" s="51" t="str">
        <f t="shared" si="21"/>
        <v>#ERROR!</v>
      </c>
      <c r="AP40" s="51" t="str">
        <f>AO40/AQ39</f>
        <v>#ERROR!</v>
      </c>
      <c r="AQ40" s="60">
        <f>AQ39/AK40</f>
        <v>33.66666667</v>
      </c>
      <c r="AR40" s="35"/>
      <c r="AS40" s="21"/>
    </row>
    <row r="41" ht="14.25" customHeight="1">
      <c r="A41" s="12"/>
      <c r="B41" s="31"/>
      <c r="C41" s="12"/>
      <c r="D41" s="12"/>
      <c r="E41" s="12"/>
      <c r="F41" s="12"/>
      <c r="G41" s="12"/>
      <c r="H41" s="12"/>
      <c r="I41" s="21"/>
      <c r="J41" s="12"/>
      <c r="K41" s="35"/>
      <c r="L41" s="12"/>
      <c r="M41" s="31"/>
      <c r="N41" s="12"/>
      <c r="O41" s="12"/>
      <c r="P41" s="12"/>
      <c r="Q41" s="12"/>
      <c r="R41" s="12"/>
      <c r="S41" s="12"/>
      <c r="T41" s="12"/>
      <c r="U41" s="12"/>
      <c r="V41" s="35"/>
      <c r="W41" s="85"/>
      <c r="X41" s="31"/>
      <c r="Y41" s="12"/>
      <c r="Z41" s="12"/>
      <c r="AA41" s="12"/>
      <c r="AB41" s="12"/>
      <c r="AC41" s="12"/>
      <c r="AD41" s="12"/>
      <c r="AE41" s="12"/>
      <c r="AF41" s="12"/>
      <c r="AG41" s="35"/>
      <c r="AH41" s="12"/>
      <c r="AI41" s="31"/>
      <c r="AJ41" s="12"/>
      <c r="AK41" s="12"/>
      <c r="AL41" s="12"/>
      <c r="AM41" s="12"/>
      <c r="AN41" s="12"/>
      <c r="AO41" s="12"/>
      <c r="AP41" s="12"/>
      <c r="AQ41" s="12"/>
      <c r="AR41" s="35"/>
      <c r="AS41" s="85"/>
    </row>
    <row r="42" ht="14.25" customHeight="1">
      <c r="A42" s="12"/>
      <c r="B42" s="31"/>
      <c r="C42" s="12"/>
      <c r="D42" s="12"/>
      <c r="E42" s="12"/>
      <c r="F42" s="12"/>
      <c r="G42" s="12"/>
      <c r="H42" s="12"/>
      <c r="I42" s="21"/>
      <c r="J42" s="12"/>
      <c r="K42" s="35"/>
      <c r="L42" s="12"/>
      <c r="M42" s="31"/>
      <c r="N42" s="12"/>
      <c r="O42" s="12"/>
      <c r="P42" s="12"/>
      <c r="Q42" s="12"/>
      <c r="R42" s="12"/>
      <c r="S42" s="12"/>
      <c r="T42" s="12"/>
      <c r="U42" s="12"/>
      <c r="V42" s="35"/>
      <c r="W42" s="12"/>
      <c r="X42" s="31"/>
      <c r="Y42" s="12"/>
      <c r="Z42" s="12"/>
      <c r="AA42" s="12"/>
      <c r="AB42" s="12"/>
      <c r="AC42" s="12"/>
      <c r="AD42" s="12"/>
      <c r="AE42" s="12"/>
      <c r="AF42" s="12"/>
      <c r="AG42" s="35"/>
      <c r="AH42" s="12"/>
      <c r="AI42" s="31"/>
      <c r="AJ42" s="12"/>
      <c r="AK42" s="12"/>
      <c r="AL42" s="12"/>
      <c r="AM42" s="12"/>
      <c r="AN42" s="12"/>
      <c r="AO42" s="12"/>
      <c r="AP42" s="12"/>
      <c r="AQ42" s="12"/>
      <c r="AR42" s="35"/>
      <c r="AS42" s="12"/>
    </row>
    <row r="43" ht="35.25" customHeight="1">
      <c r="A43" s="12"/>
      <c r="B43" s="31"/>
      <c r="C43" s="40" t="s">
        <v>144</v>
      </c>
      <c r="D43" s="4"/>
      <c r="E43" s="4"/>
      <c r="F43" s="4"/>
      <c r="G43" s="4"/>
      <c r="H43" s="4"/>
      <c r="I43" s="4"/>
      <c r="J43" s="5"/>
      <c r="K43" s="35"/>
      <c r="L43" s="12"/>
      <c r="M43" s="31"/>
      <c r="N43" s="40" t="s">
        <v>144</v>
      </c>
      <c r="O43" s="4"/>
      <c r="P43" s="4"/>
      <c r="Q43" s="4"/>
      <c r="R43" s="4"/>
      <c r="S43" s="4"/>
      <c r="T43" s="4"/>
      <c r="U43" s="5"/>
      <c r="V43" s="35"/>
      <c r="W43" s="12"/>
      <c r="X43" s="31"/>
      <c r="Y43" s="40" t="s">
        <v>144</v>
      </c>
      <c r="Z43" s="4"/>
      <c r="AA43" s="4"/>
      <c r="AB43" s="4"/>
      <c r="AC43" s="4"/>
      <c r="AD43" s="4"/>
      <c r="AE43" s="4"/>
      <c r="AF43" s="5"/>
      <c r="AG43" s="35"/>
      <c r="AH43" s="63"/>
      <c r="AI43" s="31"/>
      <c r="AJ43" s="40" t="s">
        <v>144</v>
      </c>
      <c r="AK43" s="4"/>
      <c r="AL43" s="4"/>
      <c r="AM43" s="4"/>
      <c r="AN43" s="4"/>
      <c r="AO43" s="4"/>
      <c r="AP43" s="4"/>
      <c r="AQ43" s="5"/>
      <c r="AR43" s="35"/>
      <c r="AS43" s="12"/>
    </row>
    <row r="44" ht="14.25" customHeight="1">
      <c r="A44" s="12"/>
      <c r="B44" s="31"/>
      <c r="C44" s="198" t="s">
        <v>30</v>
      </c>
      <c r="D44" s="42" t="s">
        <v>31</v>
      </c>
      <c r="E44" s="42" t="s">
        <v>32</v>
      </c>
      <c r="F44" s="43" t="s">
        <v>33</v>
      </c>
      <c r="G44" s="43" t="s">
        <v>34</v>
      </c>
      <c r="H44" s="42" t="s">
        <v>35</v>
      </c>
      <c r="I44" s="44" t="s">
        <v>36</v>
      </c>
      <c r="J44" s="45" t="s">
        <v>37</v>
      </c>
      <c r="K44" s="35"/>
      <c r="L44" s="12"/>
      <c r="M44" s="31"/>
      <c r="N44" s="198" t="s">
        <v>30</v>
      </c>
      <c r="O44" s="42" t="s">
        <v>31</v>
      </c>
      <c r="P44" s="42" t="s">
        <v>32</v>
      </c>
      <c r="Q44" s="43" t="s">
        <v>33</v>
      </c>
      <c r="R44" s="43" t="s">
        <v>34</v>
      </c>
      <c r="S44" s="42" t="s">
        <v>35</v>
      </c>
      <c r="T44" s="67" t="s">
        <v>36</v>
      </c>
      <c r="U44" s="45" t="s">
        <v>37</v>
      </c>
      <c r="V44" s="35"/>
      <c r="W44" s="63"/>
      <c r="X44" s="31"/>
      <c r="Y44" s="198" t="s">
        <v>30</v>
      </c>
      <c r="Z44" s="42" t="s">
        <v>31</v>
      </c>
      <c r="AA44" s="42" t="s">
        <v>32</v>
      </c>
      <c r="AB44" s="43" t="s">
        <v>33</v>
      </c>
      <c r="AC44" s="43" t="s">
        <v>34</v>
      </c>
      <c r="AD44" s="42" t="s">
        <v>35</v>
      </c>
      <c r="AE44" s="44" t="s">
        <v>36</v>
      </c>
      <c r="AF44" s="45" t="s">
        <v>37</v>
      </c>
      <c r="AG44" s="35"/>
      <c r="AH44" s="69"/>
      <c r="AI44" s="31"/>
      <c r="AJ44" s="199" t="s">
        <v>30</v>
      </c>
      <c r="AK44" s="43" t="s">
        <v>31</v>
      </c>
      <c r="AL44" s="43" t="s">
        <v>32</v>
      </c>
      <c r="AM44" s="43" t="s">
        <v>33</v>
      </c>
      <c r="AN44" s="43" t="s">
        <v>34</v>
      </c>
      <c r="AO44" s="43" t="s">
        <v>35</v>
      </c>
      <c r="AP44" s="65" t="s">
        <v>36</v>
      </c>
      <c r="AQ44" s="45" t="s">
        <v>37</v>
      </c>
      <c r="AR44" s="35"/>
      <c r="AS44" s="63"/>
    </row>
    <row r="45" ht="14.25" customHeight="1">
      <c r="A45" s="12"/>
      <c r="B45" s="31"/>
      <c r="C45" s="200" t="str">
        <f>SUM(C8+C8+C13)</f>
        <v>#ERROR!</v>
      </c>
      <c r="D45" s="48">
        <v>1.0</v>
      </c>
      <c r="E45" s="57">
        <v>0.45</v>
      </c>
      <c r="F45" s="51" t="str">
        <f>H45</f>
        <v>#ERROR!</v>
      </c>
      <c r="G45" s="51">
        <v>0.0</v>
      </c>
      <c r="H45" s="51" t="str">
        <f>C45-(C45*E45)</f>
        <v>#ERROR!</v>
      </c>
      <c r="I45" s="53" t="str">
        <f>H45/J45</f>
        <v>#ERROR!</v>
      </c>
      <c r="J45" s="48">
        <v>502.0</v>
      </c>
      <c r="K45" s="35"/>
      <c r="L45" s="12"/>
      <c r="M45" s="31"/>
      <c r="N45" s="200" t="str">
        <f>SUM(N8+N8+N13)</f>
        <v>#ERROR!</v>
      </c>
      <c r="O45" s="48">
        <v>1.0</v>
      </c>
      <c r="P45" s="49" t="str">
        <f>(N45-S45)/N45</f>
        <v>#ERROR!</v>
      </c>
      <c r="Q45" s="51" t="str">
        <f>S45</f>
        <v>#ERROR!</v>
      </c>
      <c r="R45" s="51">
        <v>0.0</v>
      </c>
      <c r="S45" s="51" t="str">
        <f t="shared" ref="S45:S46" si="22">H45*0.9</f>
        <v>#ERROR!</v>
      </c>
      <c r="T45" s="51" t="str">
        <f>S45/U45</f>
        <v>#ERROR!</v>
      </c>
      <c r="U45" s="48">
        <v>502.0</v>
      </c>
      <c r="V45" s="35"/>
      <c r="W45" s="69"/>
      <c r="X45" s="31"/>
      <c r="Y45" s="200" t="str">
        <f>SUM(Y8+Y8+Y13)</f>
        <v>#ERROR!</v>
      </c>
      <c r="Z45" s="48">
        <v>1.0</v>
      </c>
      <c r="AA45" s="49" t="str">
        <f>(Y45-AD45)/Y45</f>
        <v>#ERROR!</v>
      </c>
      <c r="AB45" s="51" t="str">
        <f>AD45</f>
        <v>#ERROR!</v>
      </c>
      <c r="AC45" s="51">
        <v>0.0</v>
      </c>
      <c r="AD45" s="51" t="str">
        <f t="shared" ref="AD45:AD46" si="23">H45*0.85</f>
        <v>#ERROR!</v>
      </c>
      <c r="AE45" s="53" t="str">
        <f>AD45/AF45</f>
        <v>#ERROR!</v>
      </c>
      <c r="AF45" s="48">
        <v>502.0</v>
      </c>
      <c r="AG45" s="35"/>
      <c r="AH45" s="21"/>
      <c r="AI45" s="31"/>
      <c r="AJ45" s="200" t="str">
        <f>SUM(AJ8+AJ8+AJ13)</f>
        <v>#ERROR!</v>
      </c>
      <c r="AK45" s="48">
        <v>1.0</v>
      </c>
      <c r="AL45" s="49" t="str">
        <f>(AJ45-AO45)/AJ45</f>
        <v>#ERROR!</v>
      </c>
      <c r="AM45" s="51" t="str">
        <f>AO45</f>
        <v>#ERROR!</v>
      </c>
      <c r="AN45" s="51">
        <v>0.0</v>
      </c>
      <c r="AO45" s="51" t="str">
        <f t="shared" ref="AO45:AO46" si="24">H45*0.8</f>
        <v>#ERROR!</v>
      </c>
      <c r="AP45" s="51" t="str">
        <f>AO45/AQ45</f>
        <v>#ERROR!</v>
      </c>
      <c r="AQ45" s="48">
        <v>502.0</v>
      </c>
      <c r="AR45" s="35"/>
      <c r="AS45" s="69"/>
    </row>
    <row r="46" ht="14.25" customHeight="1">
      <c r="A46" s="12"/>
      <c r="B46" s="31"/>
      <c r="C46" s="58"/>
      <c r="D46" s="48">
        <v>18.0</v>
      </c>
      <c r="E46" s="57">
        <v>0.2</v>
      </c>
      <c r="F46" s="59" t="str">
        <f>H46/D46</f>
        <v>#ERROR!</v>
      </c>
      <c r="G46" s="51" t="str">
        <f>(H46-F46)/(D46-1)</f>
        <v>#ERROR!</v>
      </c>
      <c r="H46" s="51" t="str">
        <f>C45-(C45*E46)</f>
        <v>#ERROR!</v>
      </c>
      <c r="I46" s="53" t="str">
        <f>H46/J45</f>
        <v>#ERROR!</v>
      </c>
      <c r="J46" s="60">
        <f>J45/D46</f>
        <v>27.88888889</v>
      </c>
      <c r="K46" s="35"/>
      <c r="L46" s="12"/>
      <c r="M46" s="31"/>
      <c r="N46" s="58"/>
      <c r="O46" s="48">
        <f>+D46</f>
        <v>18</v>
      </c>
      <c r="P46" s="49" t="str">
        <f>(N45-S46)/N45</f>
        <v>#ERROR!</v>
      </c>
      <c r="Q46" s="59" t="str">
        <f>F46-(F46*10%)</f>
        <v>#ERROR!</v>
      </c>
      <c r="R46" s="51" t="str">
        <f>(S46-Q46)/(O46-1)</f>
        <v>#ERROR!</v>
      </c>
      <c r="S46" s="51" t="str">
        <f t="shared" si="22"/>
        <v>#ERROR!</v>
      </c>
      <c r="T46" s="51" t="str">
        <f>S46/U45</f>
        <v>#ERROR!</v>
      </c>
      <c r="U46" s="60">
        <f>U45/O46</f>
        <v>27.88888889</v>
      </c>
      <c r="V46" s="35"/>
      <c r="W46" s="21"/>
      <c r="X46" s="31"/>
      <c r="Y46" s="58"/>
      <c r="Z46" s="48">
        <f>+D46</f>
        <v>18</v>
      </c>
      <c r="AA46" s="201" t="str">
        <f>(Y45-AD46)/Y45</f>
        <v>#ERROR!</v>
      </c>
      <c r="AB46" s="59" t="str">
        <f>F46-(F46*15%)</f>
        <v>#ERROR!</v>
      </c>
      <c r="AC46" s="51" t="str">
        <f>(AD46-AB46)/(Z46-1)</f>
        <v>#ERROR!</v>
      </c>
      <c r="AD46" s="51" t="str">
        <f t="shared" si="23"/>
        <v>#ERROR!</v>
      </c>
      <c r="AE46" s="53" t="str">
        <f>AD46/AF45</f>
        <v>#ERROR!</v>
      </c>
      <c r="AF46" s="60">
        <f>AF45/Z46</f>
        <v>27.88888889</v>
      </c>
      <c r="AG46" s="35"/>
      <c r="AH46" s="85"/>
      <c r="AI46" s="31"/>
      <c r="AJ46" s="58"/>
      <c r="AK46" s="48">
        <f>+D46</f>
        <v>18</v>
      </c>
      <c r="AL46" s="201" t="str">
        <f>(AJ45-AO46)/AJ45</f>
        <v>#ERROR!</v>
      </c>
      <c r="AM46" s="59" t="str">
        <f>F46-(F46*20%)</f>
        <v>#ERROR!</v>
      </c>
      <c r="AN46" s="51" t="str">
        <f>(AO46-AM46)/(AK46-1)</f>
        <v>#ERROR!</v>
      </c>
      <c r="AO46" s="51" t="str">
        <f t="shared" si="24"/>
        <v>#ERROR!</v>
      </c>
      <c r="AP46" s="51" t="str">
        <f>AO46/AQ45</f>
        <v>#ERROR!</v>
      </c>
      <c r="AQ46" s="60">
        <f>AQ45/AK46</f>
        <v>27.88888889</v>
      </c>
      <c r="AR46" s="35"/>
      <c r="AS46" s="21"/>
    </row>
    <row r="47" ht="14.25" customHeight="1">
      <c r="A47" s="12"/>
      <c r="B47" s="31"/>
      <c r="C47" s="12"/>
      <c r="D47" s="12"/>
      <c r="E47" s="12"/>
      <c r="F47" s="12"/>
      <c r="G47" s="210"/>
      <c r="H47" s="12"/>
      <c r="I47" s="21"/>
      <c r="J47" s="12"/>
      <c r="K47" s="35"/>
      <c r="L47" s="12"/>
      <c r="M47" s="31"/>
      <c r="N47" s="12"/>
      <c r="O47" s="12"/>
      <c r="P47" s="12"/>
      <c r="Q47" s="12"/>
      <c r="R47" s="12"/>
      <c r="S47" s="12"/>
      <c r="T47" s="12"/>
      <c r="U47" s="12"/>
      <c r="V47" s="35"/>
      <c r="W47" s="85"/>
      <c r="X47" s="31"/>
      <c r="Y47" s="12"/>
      <c r="Z47" s="12"/>
      <c r="AA47" s="12"/>
      <c r="AB47" s="12"/>
      <c r="AC47" s="12"/>
      <c r="AD47" s="12"/>
      <c r="AE47" s="12"/>
      <c r="AF47" s="12"/>
      <c r="AG47" s="35"/>
      <c r="AH47" s="12"/>
      <c r="AI47" s="31"/>
      <c r="AJ47" s="12"/>
      <c r="AK47" s="12"/>
      <c r="AL47" s="12"/>
      <c r="AM47" s="12"/>
      <c r="AN47" s="12"/>
      <c r="AO47" s="12"/>
      <c r="AP47" s="12"/>
      <c r="AQ47" s="12"/>
      <c r="AR47" s="35"/>
      <c r="AS47" s="85"/>
    </row>
    <row r="48" ht="33.0" customHeight="1">
      <c r="A48" s="12"/>
      <c r="B48" s="31"/>
      <c r="C48" s="40" t="s">
        <v>161</v>
      </c>
      <c r="D48" s="4"/>
      <c r="E48" s="4"/>
      <c r="F48" s="4"/>
      <c r="G48" s="4"/>
      <c r="H48" s="4"/>
      <c r="I48" s="4"/>
      <c r="J48" s="5"/>
      <c r="K48" s="35"/>
      <c r="L48" s="12"/>
      <c r="M48" s="31"/>
      <c r="N48" s="40" t="s">
        <v>161</v>
      </c>
      <c r="O48" s="4"/>
      <c r="P48" s="4"/>
      <c r="Q48" s="4"/>
      <c r="R48" s="4"/>
      <c r="S48" s="4"/>
      <c r="T48" s="4"/>
      <c r="U48" s="5"/>
      <c r="V48" s="35"/>
      <c r="W48" s="12"/>
      <c r="X48" s="31"/>
      <c r="Y48" s="40" t="s">
        <v>161</v>
      </c>
      <c r="Z48" s="4"/>
      <c r="AA48" s="4"/>
      <c r="AB48" s="4"/>
      <c r="AC48" s="4"/>
      <c r="AD48" s="4"/>
      <c r="AE48" s="4"/>
      <c r="AF48" s="5"/>
      <c r="AG48" s="35"/>
      <c r="AH48" s="63"/>
      <c r="AI48" s="31"/>
      <c r="AJ48" s="40" t="s">
        <v>161</v>
      </c>
      <c r="AK48" s="4"/>
      <c r="AL48" s="4"/>
      <c r="AM48" s="4"/>
      <c r="AN48" s="4"/>
      <c r="AO48" s="4"/>
      <c r="AP48" s="4"/>
      <c r="AQ48" s="5"/>
      <c r="AR48" s="35"/>
      <c r="AS48" s="12"/>
    </row>
    <row r="49" ht="14.25" customHeight="1">
      <c r="A49" s="12"/>
      <c r="B49" s="31"/>
      <c r="C49" s="198" t="s">
        <v>30</v>
      </c>
      <c r="D49" s="42" t="s">
        <v>31</v>
      </c>
      <c r="E49" s="42" t="s">
        <v>32</v>
      </c>
      <c r="F49" s="43" t="s">
        <v>33</v>
      </c>
      <c r="G49" s="43" t="s">
        <v>34</v>
      </c>
      <c r="H49" s="42" t="s">
        <v>35</v>
      </c>
      <c r="I49" s="44" t="s">
        <v>36</v>
      </c>
      <c r="J49" s="45" t="s">
        <v>37</v>
      </c>
      <c r="K49" s="35"/>
      <c r="L49" s="12"/>
      <c r="M49" s="31"/>
      <c r="N49" s="198" t="s">
        <v>30</v>
      </c>
      <c r="O49" s="42" t="s">
        <v>31</v>
      </c>
      <c r="P49" s="42" t="s">
        <v>32</v>
      </c>
      <c r="Q49" s="43" t="s">
        <v>33</v>
      </c>
      <c r="R49" s="43" t="s">
        <v>34</v>
      </c>
      <c r="S49" s="42" t="s">
        <v>35</v>
      </c>
      <c r="T49" s="67" t="s">
        <v>36</v>
      </c>
      <c r="U49" s="45" t="s">
        <v>37</v>
      </c>
      <c r="V49" s="35"/>
      <c r="W49" s="63"/>
      <c r="X49" s="31"/>
      <c r="Y49" s="198" t="s">
        <v>30</v>
      </c>
      <c r="Z49" s="42" t="s">
        <v>31</v>
      </c>
      <c r="AA49" s="42" t="s">
        <v>32</v>
      </c>
      <c r="AB49" s="43" t="s">
        <v>33</v>
      </c>
      <c r="AC49" s="43" t="s">
        <v>34</v>
      </c>
      <c r="AD49" s="42" t="s">
        <v>35</v>
      </c>
      <c r="AE49" s="44" t="s">
        <v>36</v>
      </c>
      <c r="AF49" s="45" t="s">
        <v>37</v>
      </c>
      <c r="AG49" s="35"/>
      <c r="AH49" s="69"/>
      <c r="AI49" s="31"/>
      <c r="AJ49" s="199" t="s">
        <v>30</v>
      </c>
      <c r="AK49" s="43" t="s">
        <v>31</v>
      </c>
      <c r="AL49" s="43" t="s">
        <v>32</v>
      </c>
      <c r="AM49" s="43" t="s">
        <v>33</v>
      </c>
      <c r="AN49" s="43" t="s">
        <v>34</v>
      </c>
      <c r="AO49" s="43" t="s">
        <v>35</v>
      </c>
      <c r="AP49" s="65" t="s">
        <v>36</v>
      </c>
      <c r="AQ49" s="45" t="s">
        <v>37</v>
      </c>
      <c r="AR49" s="35"/>
      <c r="AS49" s="63"/>
    </row>
    <row r="50" ht="14.25" customHeight="1">
      <c r="A50" s="12"/>
      <c r="B50" s="31"/>
      <c r="C50" s="200" t="str">
        <f>SUM(C8+C13+C18)</f>
        <v>#ERROR!</v>
      </c>
      <c r="D50" s="48">
        <v>1.0</v>
      </c>
      <c r="E50" s="57">
        <v>0.45</v>
      </c>
      <c r="F50" s="51" t="str">
        <f>H50</f>
        <v>#ERROR!</v>
      </c>
      <c r="G50" s="51">
        <v>0.0</v>
      </c>
      <c r="H50" s="51" t="str">
        <f>C50-(C50*E50)</f>
        <v>#ERROR!</v>
      </c>
      <c r="I50" s="53" t="str">
        <f>H50/J50</f>
        <v>#ERROR!</v>
      </c>
      <c r="J50" s="48">
        <v>542.0</v>
      </c>
      <c r="K50" s="35"/>
      <c r="L50" s="12"/>
      <c r="M50" s="31"/>
      <c r="N50" s="200" t="str">
        <f>SUM(N8+N13+N18)</f>
        <v>#ERROR!</v>
      </c>
      <c r="O50" s="48">
        <v>1.0</v>
      </c>
      <c r="P50" s="49" t="str">
        <f>(N50-S50)/N50</f>
        <v>#ERROR!</v>
      </c>
      <c r="Q50" s="51" t="str">
        <f>S50</f>
        <v>#ERROR!</v>
      </c>
      <c r="R50" s="51">
        <v>0.0</v>
      </c>
      <c r="S50" s="51" t="str">
        <f t="shared" ref="S50:S51" si="25">H50*0.9</f>
        <v>#ERROR!</v>
      </c>
      <c r="T50" s="51" t="str">
        <f>S50/U50</f>
        <v>#ERROR!</v>
      </c>
      <c r="U50" s="48">
        <v>542.0</v>
      </c>
      <c r="V50" s="35"/>
      <c r="W50" s="69"/>
      <c r="X50" s="31"/>
      <c r="Y50" s="200" t="str">
        <f>SUM(Y8+Y13+Y18)</f>
        <v>#ERROR!</v>
      </c>
      <c r="Z50" s="48">
        <v>1.0</v>
      </c>
      <c r="AA50" s="49" t="str">
        <f>(Y50-AD50)/Y50</f>
        <v>#ERROR!</v>
      </c>
      <c r="AB50" s="51" t="str">
        <f>AD50</f>
        <v>#ERROR!</v>
      </c>
      <c r="AC50" s="51">
        <v>0.0</v>
      </c>
      <c r="AD50" s="51" t="str">
        <f t="shared" ref="AD50:AD51" si="26">H50*0.85</f>
        <v>#ERROR!</v>
      </c>
      <c r="AE50" s="53" t="str">
        <f>AD50/AF50</f>
        <v>#ERROR!</v>
      </c>
      <c r="AF50" s="48">
        <v>542.0</v>
      </c>
      <c r="AG50" s="35"/>
      <c r="AH50" s="21"/>
      <c r="AI50" s="31"/>
      <c r="AJ50" s="200" t="str">
        <f>SUM(AJ8+AJ13+AJ18)</f>
        <v>#ERROR!</v>
      </c>
      <c r="AK50" s="48">
        <v>1.0</v>
      </c>
      <c r="AL50" s="49" t="str">
        <f>(AJ50-AO50)/AJ50</f>
        <v>#ERROR!</v>
      </c>
      <c r="AM50" s="51" t="str">
        <f>AO50</f>
        <v>#ERROR!</v>
      </c>
      <c r="AN50" s="51">
        <v>0.0</v>
      </c>
      <c r="AO50" s="51" t="str">
        <f t="shared" ref="AO50:AO51" si="27">H50*0.8</f>
        <v>#ERROR!</v>
      </c>
      <c r="AP50" s="51" t="str">
        <f>AO50/AQ50</f>
        <v>#ERROR!</v>
      </c>
      <c r="AQ50" s="48">
        <v>542.0</v>
      </c>
      <c r="AR50" s="35"/>
      <c r="AS50" s="69"/>
    </row>
    <row r="51" ht="14.25" customHeight="1">
      <c r="A51" s="12"/>
      <c r="B51" s="31"/>
      <c r="C51" s="58"/>
      <c r="D51" s="48">
        <v>18.0</v>
      </c>
      <c r="E51" s="57">
        <v>0.2</v>
      </c>
      <c r="F51" s="59" t="str">
        <f>H51/D51</f>
        <v>#ERROR!</v>
      </c>
      <c r="G51" s="51" t="str">
        <f>(H51-F51)/(D51-1)</f>
        <v>#ERROR!</v>
      </c>
      <c r="H51" s="51" t="str">
        <f>C50-(C50*E51)</f>
        <v>#ERROR!</v>
      </c>
      <c r="I51" s="53" t="str">
        <f>H51/J50</f>
        <v>#ERROR!</v>
      </c>
      <c r="J51" s="60">
        <f>J50/D51</f>
        <v>30.11111111</v>
      </c>
      <c r="K51" s="35"/>
      <c r="L51" s="12"/>
      <c r="M51" s="31"/>
      <c r="N51" s="58"/>
      <c r="O51" s="48">
        <f>+D51</f>
        <v>18</v>
      </c>
      <c r="P51" s="49" t="str">
        <f>(N50-S51)/N50</f>
        <v>#ERROR!</v>
      </c>
      <c r="Q51" s="59" t="str">
        <f>F51-(F51*10%)</f>
        <v>#ERROR!</v>
      </c>
      <c r="R51" s="51" t="str">
        <f>(S51-Q51)/(O51-1)</f>
        <v>#ERROR!</v>
      </c>
      <c r="S51" s="51" t="str">
        <f t="shared" si="25"/>
        <v>#ERROR!</v>
      </c>
      <c r="T51" s="51" t="str">
        <f>S51/U50</f>
        <v>#ERROR!</v>
      </c>
      <c r="U51" s="60">
        <f>U50/O51</f>
        <v>30.11111111</v>
      </c>
      <c r="V51" s="35"/>
      <c r="W51" s="21"/>
      <c r="X51" s="31"/>
      <c r="Y51" s="58"/>
      <c r="Z51" s="48">
        <f>+D51</f>
        <v>18</v>
      </c>
      <c r="AA51" s="49" t="str">
        <f>(Y50-AD51)/Y50</f>
        <v>#ERROR!</v>
      </c>
      <c r="AB51" s="59" t="str">
        <f>F51-(F51*15%)</f>
        <v>#ERROR!</v>
      </c>
      <c r="AC51" s="51" t="str">
        <f>(AD51-AB51)/(Z51-1)</f>
        <v>#ERROR!</v>
      </c>
      <c r="AD51" s="51" t="str">
        <f t="shared" si="26"/>
        <v>#ERROR!</v>
      </c>
      <c r="AE51" s="53" t="str">
        <f>AD51/AF50</f>
        <v>#ERROR!</v>
      </c>
      <c r="AF51" s="60">
        <f>AF50/Z51</f>
        <v>30.11111111</v>
      </c>
      <c r="AG51" s="35"/>
      <c r="AH51" s="85"/>
      <c r="AI51" s="31"/>
      <c r="AJ51" s="58"/>
      <c r="AK51" s="48">
        <f>+D51</f>
        <v>18</v>
      </c>
      <c r="AL51" s="49" t="str">
        <f>(AJ50-AO51)/AJ50</f>
        <v>#ERROR!</v>
      </c>
      <c r="AM51" s="59" t="str">
        <f>F51-(F51*20%)</f>
        <v>#ERROR!</v>
      </c>
      <c r="AN51" s="51" t="str">
        <f>(AO51-AM51)/(AK51-1)</f>
        <v>#ERROR!</v>
      </c>
      <c r="AO51" s="51" t="str">
        <f t="shared" si="27"/>
        <v>#ERROR!</v>
      </c>
      <c r="AP51" s="51" t="str">
        <f>AO51/AQ50</f>
        <v>#ERROR!</v>
      </c>
      <c r="AQ51" s="60">
        <f>AQ50/AK51</f>
        <v>30.11111111</v>
      </c>
      <c r="AR51" s="35"/>
      <c r="AS51" s="21"/>
    </row>
    <row r="52" ht="14.25" customHeight="1">
      <c r="A52" s="12"/>
      <c r="B52" s="31"/>
      <c r="C52" s="12"/>
      <c r="D52" s="12"/>
      <c r="E52" s="12"/>
      <c r="F52" s="12"/>
      <c r="G52" s="12"/>
      <c r="H52" s="12"/>
      <c r="I52" s="21"/>
      <c r="J52" s="12"/>
      <c r="K52" s="35"/>
      <c r="L52" s="12"/>
      <c r="M52" s="31"/>
      <c r="N52" s="12"/>
      <c r="O52" s="12"/>
      <c r="P52" s="12"/>
      <c r="Q52" s="12"/>
      <c r="R52" s="12"/>
      <c r="S52" s="12"/>
      <c r="T52" s="12"/>
      <c r="U52" s="12"/>
      <c r="V52" s="35"/>
      <c r="W52" s="85"/>
      <c r="X52" s="31"/>
      <c r="Y52" s="12"/>
      <c r="Z52" s="12"/>
      <c r="AA52" s="12"/>
      <c r="AB52" s="12"/>
      <c r="AC52" s="12"/>
      <c r="AD52" s="12"/>
      <c r="AE52" s="12"/>
      <c r="AF52" s="12"/>
      <c r="AG52" s="35"/>
      <c r="AH52" s="12"/>
      <c r="AI52" s="31"/>
      <c r="AJ52" s="12"/>
      <c r="AK52" s="12"/>
      <c r="AL52" s="12"/>
      <c r="AM52" s="12"/>
      <c r="AN52" s="12"/>
      <c r="AO52" s="12"/>
      <c r="AP52" s="12"/>
      <c r="AQ52" s="12"/>
      <c r="AR52" s="35"/>
      <c r="AS52" s="85"/>
    </row>
    <row r="53" ht="33.0" customHeight="1">
      <c r="A53" s="12"/>
      <c r="B53" s="31"/>
      <c r="C53" s="40" t="s">
        <v>181</v>
      </c>
      <c r="D53" s="4"/>
      <c r="E53" s="4"/>
      <c r="F53" s="4"/>
      <c r="G53" s="4"/>
      <c r="H53" s="4"/>
      <c r="I53" s="4"/>
      <c r="J53" s="5"/>
      <c r="K53" s="35"/>
      <c r="L53" s="12"/>
      <c r="M53" s="31"/>
      <c r="N53" s="40" t="s">
        <v>181</v>
      </c>
      <c r="O53" s="4"/>
      <c r="P53" s="4"/>
      <c r="Q53" s="4"/>
      <c r="R53" s="4"/>
      <c r="S53" s="4"/>
      <c r="T53" s="4"/>
      <c r="U53" s="5"/>
      <c r="V53" s="35"/>
      <c r="W53" s="12"/>
      <c r="X53" s="31"/>
      <c r="Y53" s="40" t="s">
        <v>181</v>
      </c>
      <c r="Z53" s="4"/>
      <c r="AA53" s="4"/>
      <c r="AB53" s="4"/>
      <c r="AC53" s="4"/>
      <c r="AD53" s="4"/>
      <c r="AE53" s="4"/>
      <c r="AF53" s="5"/>
      <c r="AG53" s="35"/>
      <c r="AH53" s="63"/>
      <c r="AI53" s="31"/>
      <c r="AJ53" s="40" t="s">
        <v>181</v>
      </c>
      <c r="AK53" s="4"/>
      <c r="AL53" s="4"/>
      <c r="AM53" s="4"/>
      <c r="AN53" s="4"/>
      <c r="AO53" s="4"/>
      <c r="AP53" s="4"/>
      <c r="AQ53" s="5"/>
      <c r="AR53" s="35"/>
      <c r="AS53" s="12"/>
    </row>
    <row r="54" ht="14.25" customHeight="1">
      <c r="A54" s="12"/>
      <c r="B54" s="31"/>
      <c r="C54" s="198" t="s">
        <v>30</v>
      </c>
      <c r="D54" s="42" t="s">
        <v>31</v>
      </c>
      <c r="E54" s="42" t="s">
        <v>32</v>
      </c>
      <c r="F54" s="43" t="s">
        <v>33</v>
      </c>
      <c r="G54" s="43" t="s">
        <v>34</v>
      </c>
      <c r="H54" s="42" t="s">
        <v>35</v>
      </c>
      <c r="I54" s="44" t="s">
        <v>36</v>
      </c>
      <c r="J54" s="45" t="s">
        <v>37</v>
      </c>
      <c r="K54" s="35"/>
      <c r="L54" s="12"/>
      <c r="M54" s="31"/>
      <c r="N54" s="198" t="s">
        <v>30</v>
      </c>
      <c r="O54" s="42" t="s">
        <v>31</v>
      </c>
      <c r="P54" s="42" t="s">
        <v>32</v>
      </c>
      <c r="Q54" s="43" t="s">
        <v>33</v>
      </c>
      <c r="R54" s="43" t="s">
        <v>34</v>
      </c>
      <c r="S54" s="42" t="s">
        <v>35</v>
      </c>
      <c r="T54" s="67" t="s">
        <v>36</v>
      </c>
      <c r="U54" s="45" t="s">
        <v>37</v>
      </c>
      <c r="V54" s="35"/>
      <c r="W54" s="63"/>
      <c r="X54" s="31"/>
      <c r="Y54" s="198" t="s">
        <v>30</v>
      </c>
      <c r="Z54" s="42" t="s">
        <v>31</v>
      </c>
      <c r="AA54" s="42" t="s">
        <v>32</v>
      </c>
      <c r="AB54" s="43" t="s">
        <v>33</v>
      </c>
      <c r="AC54" s="43" t="s">
        <v>34</v>
      </c>
      <c r="AD54" s="42" t="s">
        <v>35</v>
      </c>
      <c r="AE54" s="44" t="s">
        <v>36</v>
      </c>
      <c r="AF54" s="45" t="s">
        <v>37</v>
      </c>
      <c r="AG54" s="35"/>
      <c r="AH54" s="69"/>
      <c r="AI54" s="31"/>
      <c r="AJ54" s="199" t="s">
        <v>30</v>
      </c>
      <c r="AK54" s="43" t="s">
        <v>31</v>
      </c>
      <c r="AL54" s="43" t="s">
        <v>32</v>
      </c>
      <c r="AM54" s="43" t="s">
        <v>33</v>
      </c>
      <c r="AN54" s="43" t="s">
        <v>34</v>
      </c>
      <c r="AO54" s="43" t="s">
        <v>35</v>
      </c>
      <c r="AP54" s="65" t="s">
        <v>36</v>
      </c>
      <c r="AQ54" s="45" t="s">
        <v>37</v>
      </c>
      <c r="AR54" s="35"/>
      <c r="AS54" s="63"/>
    </row>
    <row r="55" ht="14.25" customHeight="1">
      <c r="A55" s="12"/>
      <c r="B55" s="31"/>
      <c r="C55" s="200" t="str">
        <f>SUM(C13+C18+C18)</f>
        <v>#ERROR!</v>
      </c>
      <c r="D55" s="48">
        <v>1.0</v>
      </c>
      <c r="E55" s="57">
        <v>0.45</v>
      </c>
      <c r="F55" s="51" t="str">
        <f>H55</f>
        <v>#ERROR!</v>
      </c>
      <c r="G55" s="51">
        <v>0.0</v>
      </c>
      <c r="H55" s="51" t="str">
        <f>C55-(C55*E55)</f>
        <v>#ERROR!</v>
      </c>
      <c r="I55" s="53" t="str">
        <f>H55/J55</f>
        <v>#ERROR!</v>
      </c>
      <c r="J55" s="48">
        <v>582.0</v>
      </c>
      <c r="K55" s="35"/>
      <c r="L55" s="12"/>
      <c r="M55" s="31"/>
      <c r="N55" s="200" t="str">
        <f>SUM(N13+N18+N18)</f>
        <v>#ERROR!</v>
      </c>
      <c r="O55" s="48">
        <v>1.0</v>
      </c>
      <c r="P55" s="49" t="str">
        <f>(N55-S55)/N55</f>
        <v>#ERROR!</v>
      </c>
      <c r="Q55" s="51" t="str">
        <f>S55</f>
        <v>#ERROR!</v>
      </c>
      <c r="R55" s="51">
        <v>0.0</v>
      </c>
      <c r="S55" s="51" t="str">
        <f t="shared" ref="S55:S56" si="28">H55*0.9</f>
        <v>#ERROR!</v>
      </c>
      <c r="T55" s="51" t="str">
        <f>S55/U55</f>
        <v>#ERROR!</v>
      </c>
      <c r="U55" s="48">
        <v>582.0</v>
      </c>
      <c r="V55" s="35"/>
      <c r="W55" s="69"/>
      <c r="X55" s="31"/>
      <c r="Y55" s="200" t="str">
        <f>SUM(Y13+Y18+Y18)</f>
        <v>#ERROR!</v>
      </c>
      <c r="Z55" s="48">
        <v>1.0</v>
      </c>
      <c r="AA55" s="49" t="str">
        <f>(Y55-AD55)/Y55</f>
        <v>#ERROR!</v>
      </c>
      <c r="AB55" s="51" t="str">
        <f>AD55</f>
        <v>#ERROR!</v>
      </c>
      <c r="AC55" s="51">
        <v>0.0</v>
      </c>
      <c r="AD55" s="51" t="str">
        <f t="shared" ref="AD55:AD56" si="29">H55*0.85</f>
        <v>#ERROR!</v>
      </c>
      <c r="AE55" s="53" t="str">
        <f>AD55/AF55</f>
        <v>#ERROR!</v>
      </c>
      <c r="AF55" s="48">
        <v>582.0</v>
      </c>
      <c r="AG55" s="35"/>
      <c r="AH55" s="21"/>
      <c r="AI55" s="31"/>
      <c r="AJ55" s="200" t="str">
        <f>SUM(AJ13+AJ18+AJ18)</f>
        <v>#ERROR!</v>
      </c>
      <c r="AK55" s="48">
        <v>1.0</v>
      </c>
      <c r="AL55" s="49" t="str">
        <f>(AJ55-AO55)/AJ55</f>
        <v>#ERROR!</v>
      </c>
      <c r="AM55" s="51" t="str">
        <f>AO55</f>
        <v>#ERROR!</v>
      </c>
      <c r="AN55" s="51">
        <v>0.0</v>
      </c>
      <c r="AO55" s="51" t="str">
        <f t="shared" ref="AO55:AO56" si="30">H55*0.8</f>
        <v>#ERROR!</v>
      </c>
      <c r="AP55" s="51" t="str">
        <f>AO55/AQ55</f>
        <v>#ERROR!</v>
      </c>
      <c r="AQ55" s="48">
        <v>582.0</v>
      </c>
      <c r="AR55" s="35"/>
      <c r="AS55" s="69"/>
    </row>
    <row r="56" ht="14.25" customHeight="1">
      <c r="A56" s="12"/>
      <c r="B56" s="31"/>
      <c r="C56" s="58"/>
      <c r="D56" s="48">
        <v>18.0</v>
      </c>
      <c r="E56" s="57">
        <v>0.2</v>
      </c>
      <c r="F56" s="59" t="str">
        <f>H56/D56</f>
        <v>#ERROR!</v>
      </c>
      <c r="G56" s="51" t="str">
        <f>(H56-F56)/(D56-1)</f>
        <v>#ERROR!</v>
      </c>
      <c r="H56" s="51" t="str">
        <f>C55-(C55*E56)</f>
        <v>#ERROR!</v>
      </c>
      <c r="I56" s="53" t="str">
        <f>H56/J55</f>
        <v>#ERROR!</v>
      </c>
      <c r="J56" s="60">
        <f>J55/D56</f>
        <v>32.33333333</v>
      </c>
      <c r="K56" s="35"/>
      <c r="L56" s="12"/>
      <c r="M56" s="31"/>
      <c r="N56" s="58"/>
      <c r="O56" s="48">
        <f>+D56</f>
        <v>18</v>
      </c>
      <c r="P56" s="49" t="str">
        <f>(N55-S56)/N55</f>
        <v>#ERROR!</v>
      </c>
      <c r="Q56" s="59" t="str">
        <f>F56-(F56*10%)</f>
        <v>#ERROR!</v>
      </c>
      <c r="R56" s="51" t="str">
        <f>(S56-Q56)/(O56-1)</f>
        <v>#ERROR!</v>
      </c>
      <c r="S56" s="51" t="str">
        <f t="shared" si="28"/>
        <v>#ERROR!</v>
      </c>
      <c r="T56" s="51" t="str">
        <f>S56/U55</f>
        <v>#ERROR!</v>
      </c>
      <c r="U56" s="60">
        <f>U55/O56</f>
        <v>32.33333333</v>
      </c>
      <c r="V56" s="35"/>
      <c r="W56" s="21"/>
      <c r="X56" s="31"/>
      <c r="Y56" s="58"/>
      <c r="Z56" s="48">
        <f>+D56</f>
        <v>18</v>
      </c>
      <c r="AA56" s="49" t="str">
        <f>(Y55-AD56)/Y55</f>
        <v>#ERROR!</v>
      </c>
      <c r="AB56" s="59" t="str">
        <f>F56-(F56*15%)</f>
        <v>#ERROR!</v>
      </c>
      <c r="AC56" s="51" t="str">
        <f>(AD56-AB56)/(Z56-1)</f>
        <v>#ERROR!</v>
      </c>
      <c r="AD56" s="51" t="str">
        <f t="shared" si="29"/>
        <v>#ERROR!</v>
      </c>
      <c r="AE56" s="53" t="str">
        <f>AD56/AF55</f>
        <v>#ERROR!</v>
      </c>
      <c r="AF56" s="60">
        <f>AF55/Z56</f>
        <v>32.33333333</v>
      </c>
      <c r="AG56" s="35"/>
      <c r="AH56" s="85"/>
      <c r="AI56" s="31"/>
      <c r="AJ56" s="58"/>
      <c r="AK56" s="48">
        <f>+D56</f>
        <v>18</v>
      </c>
      <c r="AL56" s="49" t="str">
        <f>(AJ55-AO56)/AJ55</f>
        <v>#ERROR!</v>
      </c>
      <c r="AM56" s="59" t="str">
        <f>F56-(F56*20%)</f>
        <v>#ERROR!</v>
      </c>
      <c r="AN56" s="51" t="str">
        <f>(AO56-AM56)/(AK56-1)</f>
        <v>#ERROR!</v>
      </c>
      <c r="AO56" s="51" t="str">
        <f t="shared" si="30"/>
        <v>#ERROR!</v>
      </c>
      <c r="AP56" s="51" t="str">
        <f>AO56/AQ55</f>
        <v>#ERROR!</v>
      </c>
      <c r="AQ56" s="60">
        <f>AQ55/AK56</f>
        <v>32.33333333</v>
      </c>
      <c r="AR56" s="35"/>
      <c r="AS56" s="21"/>
    </row>
    <row r="57" ht="14.25" customHeight="1">
      <c r="A57" s="12"/>
      <c r="B57" s="31"/>
      <c r="C57" s="12"/>
      <c r="D57" s="12"/>
      <c r="E57" s="12"/>
      <c r="F57" s="12"/>
      <c r="G57" s="12"/>
      <c r="H57" s="12"/>
      <c r="I57" s="21"/>
      <c r="J57" s="12"/>
      <c r="K57" s="35"/>
      <c r="L57" s="12"/>
      <c r="M57" s="31"/>
      <c r="N57" s="12"/>
      <c r="O57" s="12"/>
      <c r="P57" s="12"/>
      <c r="Q57" s="12"/>
      <c r="R57" s="12"/>
      <c r="S57" s="12"/>
      <c r="T57" s="12"/>
      <c r="U57" s="12"/>
      <c r="V57" s="35"/>
      <c r="W57" s="85"/>
      <c r="X57" s="31"/>
      <c r="Y57" s="12"/>
      <c r="Z57" s="12"/>
      <c r="AA57" s="12"/>
      <c r="AB57" s="12"/>
      <c r="AC57" s="12"/>
      <c r="AD57" s="12"/>
      <c r="AE57" s="12"/>
      <c r="AF57" s="12"/>
      <c r="AG57" s="35"/>
      <c r="AH57" s="12"/>
      <c r="AI57" s="31"/>
      <c r="AJ57" s="12"/>
      <c r="AK57" s="12"/>
      <c r="AL57" s="12"/>
      <c r="AM57" s="12"/>
      <c r="AN57" s="12"/>
      <c r="AO57" s="12"/>
      <c r="AP57" s="12"/>
      <c r="AQ57" s="12"/>
      <c r="AR57" s="35"/>
      <c r="AS57" s="85"/>
    </row>
    <row r="58" ht="14.25" customHeight="1">
      <c r="A58" s="12"/>
      <c r="B58" s="31"/>
      <c r="C58" s="12"/>
      <c r="D58" s="12"/>
      <c r="E58" s="12"/>
      <c r="F58" s="12"/>
      <c r="G58" s="12"/>
      <c r="H58" s="12"/>
      <c r="I58" s="21"/>
      <c r="J58" s="12"/>
      <c r="K58" s="35"/>
      <c r="L58" s="12"/>
      <c r="M58" s="31"/>
      <c r="N58" s="12"/>
      <c r="O58" s="12"/>
      <c r="P58" s="12"/>
      <c r="Q58" s="12"/>
      <c r="R58" s="12"/>
      <c r="S58" s="12"/>
      <c r="T58" s="12"/>
      <c r="U58" s="12"/>
      <c r="V58" s="35"/>
      <c r="W58" s="12"/>
      <c r="X58" s="31"/>
      <c r="Y58" s="12"/>
      <c r="Z58" s="12"/>
      <c r="AA58" s="12"/>
      <c r="AB58" s="12"/>
      <c r="AC58" s="12"/>
      <c r="AD58" s="12"/>
      <c r="AE58" s="12"/>
      <c r="AF58" s="12"/>
      <c r="AG58" s="35"/>
      <c r="AH58" s="12"/>
      <c r="AI58" s="31"/>
      <c r="AJ58" s="12"/>
      <c r="AK58" s="12"/>
      <c r="AL58" s="12"/>
      <c r="AM58" s="12"/>
      <c r="AN58" s="12"/>
      <c r="AO58" s="12"/>
      <c r="AP58" s="12"/>
      <c r="AQ58" s="12"/>
      <c r="AR58" s="35"/>
      <c r="AS58" s="12"/>
    </row>
    <row r="59" ht="33.0" customHeight="1">
      <c r="A59" s="12"/>
      <c r="B59" s="31"/>
      <c r="C59" s="40" t="s">
        <v>26</v>
      </c>
      <c r="D59" s="4"/>
      <c r="E59" s="4"/>
      <c r="F59" s="4"/>
      <c r="G59" s="4"/>
      <c r="H59" s="4"/>
      <c r="I59" s="4"/>
      <c r="J59" s="5"/>
      <c r="K59" s="35"/>
      <c r="L59" s="12"/>
      <c r="M59" s="31"/>
      <c r="N59" s="40" t="s">
        <v>26</v>
      </c>
      <c r="O59" s="4"/>
      <c r="P59" s="4"/>
      <c r="Q59" s="4"/>
      <c r="R59" s="4"/>
      <c r="S59" s="4"/>
      <c r="T59" s="4"/>
      <c r="U59" s="5"/>
      <c r="V59" s="35"/>
      <c r="W59" s="12"/>
      <c r="X59" s="31"/>
      <c r="Y59" s="40" t="s">
        <v>26</v>
      </c>
      <c r="Z59" s="4"/>
      <c r="AA59" s="4"/>
      <c r="AB59" s="4"/>
      <c r="AC59" s="4"/>
      <c r="AD59" s="4"/>
      <c r="AE59" s="4"/>
      <c r="AF59" s="5"/>
      <c r="AG59" s="35"/>
      <c r="AH59" s="63"/>
      <c r="AI59" s="31"/>
      <c r="AJ59" s="40" t="s">
        <v>26</v>
      </c>
      <c r="AK59" s="4"/>
      <c r="AL59" s="4"/>
      <c r="AM59" s="4"/>
      <c r="AN59" s="4"/>
      <c r="AO59" s="4"/>
      <c r="AP59" s="4"/>
      <c r="AQ59" s="5"/>
      <c r="AR59" s="35"/>
      <c r="AS59" s="12"/>
    </row>
    <row r="60" ht="14.25" customHeight="1">
      <c r="A60" s="12"/>
      <c r="B60" s="31"/>
      <c r="C60" s="41" t="s">
        <v>30</v>
      </c>
      <c r="D60" s="42" t="s">
        <v>31</v>
      </c>
      <c r="E60" s="42" t="s">
        <v>32</v>
      </c>
      <c r="F60" s="43" t="s">
        <v>33</v>
      </c>
      <c r="G60" s="43" t="s">
        <v>34</v>
      </c>
      <c r="H60" s="42" t="s">
        <v>35</v>
      </c>
      <c r="I60" s="44" t="s">
        <v>36</v>
      </c>
      <c r="J60" s="45" t="s">
        <v>37</v>
      </c>
      <c r="K60" s="35"/>
      <c r="L60" s="12"/>
      <c r="M60" s="31"/>
      <c r="N60" s="41" t="s">
        <v>30</v>
      </c>
      <c r="O60" s="42" t="s">
        <v>31</v>
      </c>
      <c r="P60" s="42" t="s">
        <v>32</v>
      </c>
      <c r="Q60" s="43" t="s">
        <v>33</v>
      </c>
      <c r="R60" s="43" t="s">
        <v>34</v>
      </c>
      <c r="S60" s="42" t="s">
        <v>35</v>
      </c>
      <c r="T60" s="67" t="s">
        <v>36</v>
      </c>
      <c r="U60" s="45" t="s">
        <v>37</v>
      </c>
      <c r="V60" s="35"/>
      <c r="W60" s="63"/>
      <c r="X60" s="31"/>
      <c r="Y60" s="41" t="s">
        <v>30</v>
      </c>
      <c r="Z60" s="42" t="s">
        <v>31</v>
      </c>
      <c r="AA60" s="42" t="s">
        <v>32</v>
      </c>
      <c r="AB60" s="43" t="s">
        <v>33</v>
      </c>
      <c r="AC60" s="43" t="s">
        <v>34</v>
      </c>
      <c r="AD60" s="42" t="s">
        <v>35</v>
      </c>
      <c r="AE60" s="44" t="s">
        <v>36</v>
      </c>
      <c r="AF60" s="45" t="s">
        <v>37</v>
      </c>
      <c r="AG60" s="35"/>
      <c r="AH60" s="69"/>
      <c r="AI60" s="31"/>
      <c r="AJ60" s="240" t="s">
        <v>30</v>
      </c>
      <c r="AK60" s="43" t="s">
        <v>31</v>
      </c>
      <c r="AL60" s="43" t="s">
        <v>32</v>
      </c>
      <c r="AM60" s="43" t="s">
        <v>33</v>
      </c>
      <c r="AN60" s="43" t="s">
        <v>34</v>
      </c>
      <c r="AO60" s="43" t="s">
        <v>35</v>
      </c>
      <c r="AP60" s="65" t="s">
        <v>36</v>
      </c>
      <c r="AQ60" s="45" t="s">
        <v>37</v>
      </c>
      <c r="AR60" s="35"/>
      <c r="AS60" s="63"/>
    </row>
    <row r="61" ht="14.25" customHeight="1">
      <c r="A61" s="12"/>
      <c r="B61" s="31"/>
      <c r="C61" s="47" t="str">
        <f>SUM(C8+C8+C13+C18)</f>
        <v>#ERROR!</v>
      </c>
      <c r="D61" s="48">
        <v>1.0</v>
      </c>
      <c r="E61" s="57">
        <v>0.55</v>
      </c>
      <c r="F61" s="51" t="str">
        <f>H61</f>
        <v>#ERROR!</v>
      </c>
      <c r="G61" s="51">
        <v>0.0</v>
      </c>
      <c r="H61" s="51" t="str">
        <f>C61-(C61*E61)</f>
        <v>#ERROR!</v>
      </c>
      <c r="I61" s="53" t="str">
        <f>H61/J61</f>
        <v>#ERROR!</v>
      </c>
      <c r="J61" s="48">
        <v>704.0</v>
      </c>
      <c r="K61" s="35"/>
      <c r="L61" s="12"/>
      <c r="M61" s="31"/>
      <c r="N61" s="47" t="str">
        <f>SUM(N8+N8+N13+N18)</f>
        <v>#ERROR!</v>
      </c>
      <c r="O61" s="48">
        <v>1.0</v>
      </c>
      <c r="P61" s="49" t="str">
        <f>(N61-S61)/N61</f>
        <v>#ERROR!</v>
      </c>
      <c r="Q61" s="51" t="str">
        <f>S61</f>
        <v>#ERROR!</v>
      </c>
      <c r="R61" s="51">
        <v>0.0</v>
      </c>
      <c r="S61" s="51" t="str">
        <f t="shared" ref="S61:S62" si="31">H61*0.9</f>
        <v>#ERROR!</v>
      </c>
      <c r="T61" s="51" t="str">
        <f>S61/U61</f>
        <v>#ERROR!</v>
      </c>
      <c r="U61" s="48">
        <v>704.0</v>
      </c>
      <c r="V61" s="35"/>
      <c r="W61" s="69"/>
      <c r="X61" s="31"/>
      <c r="Y61" s="47" t="str">
        <f>SUM(Y8+Y8+Y13+Y18)</f>
        <v>#ERROR!</v>
      </c>
      <c r="Z61" s="48">
        <v>1.0</v>
      </c>
      <c r="AA61" s="49" t="str">
        <f>(Y61-AD61)/Y61</f>
        <v>#ERROR!</v>
      </c>
      <c r="AB61" s="51" t="str">
        <f>AD61</f>
        <v>#ERROR!</v>
      </c>
      <c r="AC61" s="51">
        <v>0.0</v>
      </c>
      <c r="AD61" s="51" t="str">
        <f t="shared" ref="AD61:AD62" si="32">H61*0.85</f>
        <v>#ERROR!</v>
      </c>
      <c r="AE61" s="53" t="str">
        <f>AD61/AF61</f>
        <v>#ERROR!</v>
      </c>
      <c r="AF61" s="48">
        <v>704.0</v>
      </c>
      <c r="AG61" s="35"/>
      <c r="AH61" s="21"/>
      <c r="AI61" s="31"/>
      <c r="AJ61" s="47" t="str">
        <f>SUM(AJ8+AJ8+AJ13+AJ18)</f>
        <v>#ERROR!</v>
      </c>
      <c r="AK61" s="48">
        <v>1.0</v>
      </c>
      <c r="AL61" s="49" t="str">
        <f>(AJ61-AO61)/AJ61</f>
        <v>#ERROR!</v>
      </c>
      <c r="AM61" s="51" t="str">
        <f>AO61</f>
        <v>#ERROR!</v>
      </c>
      <c r="AN61" s="51">
        <v>0.0</v>
      </c>
      <c r="AO61" s="51" t="str">
        <f t="shared" ref="AO61:AO62" si="33">H61*0.8</f>
        <v>#ERROR!</v>
      </c>
      <c r="AP61" s="51" t="str">
        <f>AO61/AQ61</f>
        <v>#ERROR!</v>
      </c>
      <c r="AQ61" s="48">
        <v>704.0</v>
      </c>
      <c r="AR61" s="35"/>
      <c r="AS61" s="69"/>
    </row>
    <row r="62" ht="14.25" customHeight="1">
      <c r="A62" s="12"/>
      <c r="B62" s="31"/>
      <c r="C62" s="58"/>
      <c r="D62" s="48">
        <v>22.0</v>
      </c>
      <c r="E62" s="57">
        <v>0.3</v>
      </c>
      <c r="F62" s="59" t="str">
        <f>H62/D62</f>
        <v>#ERROR!</v>
      </c>
      <c r="G62" s="51" t="str">
        <f>(H62-F62)/(D62-1)</f>
        <v>#ERROR!</v>
      </c>
      <c r="H62" s="51" t="str">
        <f>C61-(C61*E62)</f>
        <v>#ERROR!</v>
      </c>
      <c r="I62" s="53" t="str">
        <f>H62/J61</f>
        <v>#ERROR!</v>
      </c>
      <c r="J62" s="60">
        <f>J61/D62</f>
        <v>32</v>
      </c>
      <c r="K62" s="35"/>
      <c r="L62" s="12"/>
      <c r="M62" s="31"/>
      <c r="N62" s="58"/>
      <c r="O62" s="48">
        <f>+D62</f>
        <v>22</v>
      </c>
      <c r="P62" s="49" t="str">
        <f>(N61-S62)/N61</f>
        <v>#ERROR!</v>
      </c>
      <c r="Q62" s="59" t="str">
        <f>F62-(F62*10%)</f>
        <v>#ERROR!</v>
      </c>
      <c r="R62" s="51" t="str">
        <f>(S62-Q62)/(O62-1)</f>
        <v>#ERROR!</v>
      </c>
      <c r="S62" s="51" t="str">
        <f t="shared" si="31"/>
        <v>#ERROR!</v>
      </c>
      <c r="T62" s="51" t="str">
        <f>S62/U61</f>
        <v>#ERROR!</v>
      </c>
      <c r="U62" s="60">
        <f>U61/O62</f>
        <v>32</v>
      </c>
      <c r="V62" s="35"/>
      <c r="W62" s="21"/>
      <c r="X62" s="31"/>
      <c r="Y62" s="58"/>
      <c r="Z62" s="48">
        <f>+D62</f>
        <v>22</v>
      </c>
      <c r="AA62" s="201" t="str">
        <f>(Y61-AD62)/Y61</f>
        <v>#ERROR!</v>
      </c>
      <c r="AB62" s="59" t="str">
        <f>F62-(F62*15%)</f>
        <v>#ERROR!</v>
      </c>
      <c r="AC62" s="51" t="str">
        <f>(AD62-AB62)/(Z62-1)</f>
        <v>#ERROR!</v>
      </c>
      <c r="AD62" s="51" t="str">
        <f t="shared" si="32"/>
        <v>#ERROR!</v>
      </c>
      <c r="AE62" s="53" t="str">
        <f>AD62/AF61</f>
        <v>#ERROR!</v>
      </c>
      <c r="AF62" s="60">
        <f>AF61/Z62</f>
        <v>32</v>
      </c>
      <c r="AG62" s="35"/>
      <c r="AH62" s="85"/>
      <c r="AI62" s="31"/>
      <c r="AJ62" s="58"/>
      <c r="AK62" s="48">
        <f>+D62</f>
        <v>22</v>
      </c>
      <c r="AL62" s="201" t="str">
        <f>(AJ61-AO62)/AJ61</f>
        <v>#ERROR!</v>
      </c>
      <c r="AM62" s="59" t="str">
        <f>F62-(F62*20%)</f>
        <v>#ERROR!</v>
      </c>
      <c r="AN62" s="51" t="str">
        <f>(AO62-AM62)/(AK62-1)</f>
        <v>#ERROR!</v>
      </c>
      <c r="AO62" s="51" t="str">
        <f t="shared" si="33"/>
        <v>#ERROR!</v>
      </c>
      <c r="AP62" s="51" t="str">
        <f>AO62/AQ61</f>
        <v>#ERROR!</v>
      </c>
      <c r="AQ62" s="60">
        <f>AQ61/AK62</f>
        <v>32</v>
      </c>
      <c r="AR62" s="35"/>
      <c r="AS62" s="21"/>
    </row>
    <row r="63" ht="14.25" customHeight="1">
      <c r="A63" s="12"/>
      <c r="B63" s="31"/>
      <c r="C63" s="12"/>
      <c r="D63" s="12"/>
      <c r="E63" s="12"/>
      <c r="F63" s="12"/>
      <c r="G63" s="12"/>
      <c r="H63" s="12"/>
      <c r="I63" s="21"/>
      <c r="J63" s="12"/>
      <c r="K63" s="35"/>
      <c r="L63" s="12"/>
      <c r="M63" s="31"/>
      <c r="N63" s="12"/>
      <c r="O63" s="12"/>
      <c r="P63" s="12"/>
      <c r="Q63" s="12"/>
      <c r="R63" s="12"/>
      <c r="S63" s="12"/>
      <c r="T63" s="12"/>
      <c r="U63" s="12"/>
      <c r="V63" s="35"/>
      <c r="W63" s="85"/>
      <c r="X63" s="31"/>
      <c r="Y63" s="12"/>
      <c r="Z63" s="12"/>
      <c r="AA63" s="12"/>
      <c r="AB63" s="12"/>
      <c r="AC63" s="12"/>
      <c r="AD63" s="12"/>
      <c r="AE63" s="12"/>
      <c r="AF63" s="12"/>
      <c r="AG63" s="35"/>
      <c r="AH63" s="12"/>
      <c r="AI63" s="31"/>
      <c r="AJ63" s="12"/>
      <c r="AK63" s="12"/>
      <c r="AL63" s="12"/>
      <c r="AM63" s="12"/>
      <c r="AN63" s="12"/>
      <c r="AO63" s="12"/>
      <c r="AP63" s="12"/>
      <c r="AQ63" s="12"/>
      <c r="AR63" s="35"/>
      <c r="AS63" s="85"/>
    </row>
    <row r="64" ht="33.0" customHeight="1">
      <c r="A64" s="12"/>
      <c r="B64" s="31"/>
      <c r="C64" s="40" t="s">
        <v>44</v>
      </c>
      <c r="D64" s="4"/>
      <c r="E64" s="4"/>
      <c r="F64" s="4"/>
      <c r="G64" s="4"/>
      <c r="H64" s="4"/>
      <c r="I64" s="4"/>
      <c r="J64" s="5"/>
      <c r="K64" s="35"/>
      <c r="L64" s="12"/>
      <c r="M64" s="31"/>
      <c r="N64" s="40" t="s">
        <v>44</v>
      </c>
      <c r="O64" s="4"/>
      <c r="P64" s="4"/>
      <c r="Q64" s="4"/>
      <c r="R64" s="4"/>
      <c r="S64" s="4"/>
      <c r="T64" s="4"/>
      <c r="U64" s="5"/>
      <c r="V64" s="35"/>
      <c r="W64" s="12"/>
      <c r="X64" s="31"/>
      <c r="Y64" s="40" t="s">
        <v>44</v>
      </c>
      <c r="Z64" s="4"/>
      <c r="AA64" s="4"/>
      <c r="AB64" s="4"/>
      <c r="AC64" s="4"/>
      <c r="AD64" s="4"/>
      <c r="AE64" s="4"/>
      <c r="AF64" s="5"/>
      <c r="AG64" s="35"/>
      <c r="AH64" s="63"/>
      <c r="AI64" s="31"/>
      <c r="AJ64" s="40" t="s">
        <v>44</v>
      </c>
      <c r="AK64" s="4"/>
      <c r="AL64" s="4"/>
      <c r="AM64" s="4"/>
      <c r="AN64" s="4"/>
      <c r="AO64" s="4"/>
      <c r="AP64" s="4"/>
      <c r="AQ64" s="5"/>
      <c r="AR64" s="35"/>
      <c r="AS64" s="12"/>
    </row>
    <row r="65" ht="14.25" customHeight="1">
      <c r="A65" s="12"/>
      <c r="B65" s="31"/>
      <c r="C65" s="41" t="s">
        <v>30</v>
      </c>
      <c r="D65" s="42" t="s">
        <v>31</v>
      </c>
      <c r="E65" s="42" t="s">
        <v>32</v>
      </c>
      <c r="F65" s="43" t="s">
        <v>33</v>
      </c>
      <c r="G65" s="43" t="s">
        <v>34</v>
      </c>
      <c r="H65" s="42" t="s">
        <v>35</v>
      </c>
      <c r="I65" s="44" t="s">
        <v>36</v>
      </c>
      <c r="J65" s="45" t="s">
        <v>37</v>
      </c>
      <c r="K65" s="35"/>
      <c r="L65" s="12"/>
      <c r="M65" s="31"/>
      <c r="N65" s="41" t="s">
        <v>30</v>
      </c>
      <c r="O65" s="42" t="s">
        <v>31</v>
      </c>
      <c r="P65" s="42" t="s">
        <v>32</v>
      </c>
      <c r="Q65" s="43" t="s">
        <v>33</v>
      </c>
      <c r="R65" s="43" t="s">
        <v>34</v>
      </c>
      <c r="S65" s="42" t="s">
        <v>35</v>
      </c>
      <c r="T65" s="67" t="s">
        <v>36</v>
      </c>
      <c r="U65" s="45" t="s">
        <v>37</v>
      </c>
      <c r="V65" s="35"/>
      <c r="W65" s="63"/>
      <c r="X65" s="31"/>
      <c r="Y65" s="41" t="s">
        <v>30</v>
      </c>
      <c r="Z65" s="42" t="s">
        <v>31</v>
      </c>
      <c r="AA65" s="42" t="s">
        <v>32</v>
      </c>
      <c r="AB65" s="43" t="s">
        <v>33</v>
      </c>
      <c r="AC65" s="43" t="s">
        <v>34</v>
      </c>
      <c r="AD65" s="42" t="s">
        <v>35</v>
      </c>
      <c r="AE65" s="44" t="s">
        <v>36</v>
      </c>
      <c r="AF65" s="45" t="s">
        <v>37</v>
      </c>
      <c r="AG65" s="35"/>
      <c r="AH65" s="69"/>
      <c r="AI65" s="31"/>
      <c r="AJ65" s="240" t="s">
        <v>30</v>
      </c>
      <c r="AK65" s="43" t="s">
        <v>31</v>
      </c>
      <c r="AL65" s="43" t="s">
        <v>32</v>
      </c>
      <c r="AM65" s="43" t="s">
        <v>33</v>
      </c>
      <c r="AN65" s="43" t="s">
        <v>34</v>
      </c>
      <c r="AO65" s="43" t="s">
        <v>35</v>
      </c>
      <c r="AP65" s="65" t="s">
        <v>36</v>
      </c>
      <c r="AQ65" s="45" t="s">
        <v>37</v>
      </c>
      <c r="AR65" s="35"/>
      <c r="AS65" s="63"/>
    </row>
    <row r="66" ht="14.25" customHeight="1">
      <c r="A66" s="12"/>
      <c r="B66" s="31"/>
      <c r="C66" s="47" t="str">
        <f>SUM(C8+C13+C18+C18)</f>
        <v>#ERROR!</v>
      </c>
      <c r="D66" s="48">
        <v>1.0</v>
      </c>
      <c r="E66" s="57">
        <v>0.55</v>
      </c>
      <c r="F66" s="51" t="str">
        <f>H66</f>
        <v>#ERROR!</v>
      </c>
      <c r="G66" s="51">
        <v>0.0</v>
      </c>
      <c r="H66" s="51" t="str">
        <f>C66-(C66*E66)</f>
        <v>#ERROR!</v>
      </c>
      <c r="I66" s="53" t="str">
        <f>H66/J66</f>
        <v>#ERROR!</v>
      </c>
      <c r="J66" s="48">
        <v>744.0</v>
      </c>
      <c r="K66" s="35"/>
      <c r="L66" s="12"/>
      <c r="M66" s="31"/>
      <c r="N66" s="47" t="str">
        <f>SUM(N8+N13+N18+N18)</f>
        <v>#ERROR!</v>
      </c>
      <c r="O66" s="48">
        <v>1.0</v>
      </c>
      <c r="P66" s="49" t="str">
        <f>(N66-S66)/N66</f>
        <v>#ERROR!</v>
      </c>
      <c r="Q66" s="51" t="str">
        <f>S66</f>
        <v>#ERROR!</v>
      </c>
      <c r="R66" s="51">
        <v>0.0</v>
      </c>
      <c r="S66" s="51" t="str">
        <f t="shared" ref="S66:S67" si="34">H66*0.9</f>
        <v>#ERROR!</v>
      </c>
      <c r="T66" s="51" t="str">
        <f>S66/U66</f>
        <v>#ERROR!</v>
      </c>
      <c r="U66" s="48">
        <v>744.0</v>
      </c>
      <c r="V66" s="35"/>
      <c r="W66" s="69"/>
      <c r="X66" s="31"/>
      <c r="Y66" s="47" t="str">
        <f>SUM(Y8+Y13+Y18+Y18)</f>
        <v>#ERROR!</v>
      </c>
      <c r="Z66" s="48">
        <v>1.0</v>
      </c>
      <c r="AA66" s="49" t="str">
        <f>(Y66-AD66)/Y66</f>
        <v>#ERROR!</v>
      </c>
      <c r="AB66" s="51" t="str">
        <f>AD66</f>
        <v>#ERROR!</v>
      </c>
      <c r="AC66" s="51">
        <v>0.0</v>
      </c>
      <c r="AD66" s="51" t="str">
        <f t="shared" ref="AD66:AD67" si="35">H66*0.85</f>
        <v>#ERROR!</v>
      </c>
      <c r="AE66" s="53" t="str">
        <f>AD66/AF66</f>
        <v>#ERROR!</v>
      </c>
      <c r="AF66" s="48">
        <v>744.0</v>
      </c>
      <c r="AG66" s="35"/>
      <c r="AH66" s="21"/>
      <c r="AI66" s="31"/>
      <c r="AJ66" s="47" t="str">
        <f>SUM(AJ8+AJ13+AJ18+AJ18)</f>
        <v>#ERROR!</v>
      </c>
      <c r="AK66" s="48">
        <v>1.0</v>
      </c>
      <c r="AL66" s="49" t="str">
        <f>(AJ66-AO66)/AJ66</f>
        <v>#ERROR!</v>
      </c>
      <c r="AM66" s="51" t="str">
        <f>AO66</f>
        <v>#ERROR!</v>
      </c>
      <c r="AN66" s="51">
        <v>0.0</v>
      </c>
      <c r="AO66" s="51" t="str">
        <f t="shared" ref="AO66:AO67" si="36">H66*0.8</f>
        <v>#ERROR!</v>
      </c>
      <c r="AP66" s="51" t="str">
        <f>AO66/AQ66</f>
        <v>#ERROR!</v>
      </c>
      <c r="AQ66" s="48">
        <v>744.0</v>
      </c>
      <c r="AR66" s="35"/>
      <c r="AS66" s="69"/>
    </row>
    <row r="67" ht="14.25" customHeight="1">
      <c r="A67" s="12"/>
      <c r="B67" s="31"/>
      <c r="C67" s="58"/>
      <c r="D67" s="48">
        <v>22.0</v>
      </c>
      <c r="E67" s="57">
        <v>0.3</v>
      </c>
      <c r="F67" s="59" t="str">
        <f>H67/D67</f>
        <v>#ERROR!</v>
      </c>
      <c r="G67" s="51" t="str">
        <f>(H67-F67)/(D67-1)</f>
        <v>#ERROR!</v>
      </c>
      <c r="H67" s="51" t="str">
        <f>C66-(C66*E67)</f>
        <v>#ERROR!</v>
      </c>
      <c r="I67" s="53" t="str">
        <f>H67/J66</f>
        <v>#ERROR!</v>
      </c>
      <c r="J67" s="60">
        <f>J66/D67</f>
        <v>33.81818182</v>
      </c>
      <c r="K67" s="35"/>
      <c r="L67" s="12"/>
      <c r="M67" s="31"/>
      <c r="N67" s="58"/>
      <c r="O67" s="48">
        <f>+D67</f>
        <v>22</v>
      </c>
      <c r="P67" s="49" t="str">
        <f>(N66-S67)/N66</f>
        <v>#ERROR!</v>
      </c>
      <c r="Q67" s="59" t="str">
        <f>F67-(F67*10%)</f>
        <v>#ERROR!</v>
      </c>
      <c r="R67" s="51" t="str">
        <f>(S67-Q67)/(O67-1)</f>
        <v>#ERROR!</v>
      </c>
      <c r="S67" s="51" t="str">
        <f t="shared" si="34"/>
        <v>#ERROR!</v>
      </c>
      <c r="T67" s="51" t="str">
        <f>S67/U66</f>
        <v>#ERROR!</v>
      </c>
      <c r="U67" s="60">
        <f>U66/O67</f>
        <v>33.81818182</v>
      </c>
      <c r="V67" s="35"/>
      <c r="W67" s="21"/>
      <c r="X67" s="31"/>
      <c r="Y67" s="58"/>
      <c r="Z67" s="48">
        <f>+D67</f>
        <v>22</v>
      </c>
      <c r="AA67" s="49" t="str">
        <f>(Y66-AD67)/Y66</f>
        <v>#ERROR!</v>
      </c>
      <c r="AB67" s="59" t="str">
        <f>F67-(F67*15%)</f>
        <v>#ERROR!</v>
      </c>
      <c r="AC67" s="51" t="str">
        <f>(AD67-AB67)/(Z67-1)</f>
        <v>#ERROR!</v>
      </c>
      <c r="AD67" s="51" t="str">
        <f t="shared" si="35"/>
        <v>#ERROR!</v>
      </c>
      <c r="AE67" s="53" t="str">
        <f>AD67/AF66</f>
        <v>#ERROR!</v>
      </c>
      <c r="AF67" s="60">
        <f>AF66/Z67</f>
        <v>33.81818182</v>
      </c>
      <c r="AG67" s="35"/>
      <c r="AH67" s="85"/>
      <c r="AI67" s="31"/>
      <c r="AJ67" s="58"/>
      <c r="AK67" s="48">
        <f>+D67</f>
        <v>22</v>
      </c>
      <c r="AL67" s="49" t="str">
        <f>(AJ66-AO67)/AJ66</f>
        <v>#ERROR!</v>
      </c>
      <c r="AM67" s="59" t="str">
        <f>F67-(F67*20%)</f>
        <v>#ERROR!</v>
      </c>
      <c r="AN67" s="51" t="str">
        <f>(AO67-AM67)/(AK67-1)</f>
        <v>#ERROR!</v>
      </c>
      <c r="AO67" s="51" t="str">
        <f t="shared" si="36"/>
        <v>#ERROR!</v>
      </c>
      <c r="AP67" s="51" t="str">
        <f>AO67/AQ66</f>
        <v>#ERROR!</v>
      </c>
      <c r="AQ67" s="60">
        <f>AQ66/AK67</f>
        <v>33.81818182</v>
      </c>
      <c r="AR67" s="35"/>
      <c r="AS67" s="21"/>
    </row>
    <row r="68" ht="14.25" customHeight="1">
      <c r="A68" s="12"/>
      <c r="B68" s="31"/>
      <c r="C68" s="12"/>
      <c r="D68" s="12"/>
      <c r="E68" s="12"/>
      <c r="F68" s="12"/>
      <c r="G68" s="12"/>
      <c r="H68" s="12"/>
      <c r="I68" s="21"/>
      <c r="J68" s="12"/>
      <c r="K68" s="35"/>
      <c r="L68" s="12"/>
      <c r="M68" s="31"/>
      <c r="N68" s="12"/>
      <c r="O68" s="12"/>
      <c r="P68" s="12"/>
      <c r="Q68" s="12"/>
      <c r="R68" s="12"/>
      <c r="S68" s="12"/>
      <c r="T68" s="12"/>
      <c r="U68" s="12"/>
      <c r="V68" s="35"/>
      <c r="W68" s="85"/>
      <c r="X68" s="31"/>
      <c r="Y68" s="12"/>
      <c r="Z68" s="12"/>
      <c r="AA68" s="12"/>
      <c r="AB68" s="12"/>
      <c r="AC68" s="12"/>
      <c r="AD68" s="12"/>
      <c r="AE68" s="12"/>
      <c r="AF68" s="12"/>
      <c r="AG68" s="35"/>
      <c r="AH68" s="12"/>
      <c r="AI68" s="31"/>
      <c r="AJ68" s="12"/>
      <c r="AK68" s="12"/>
      <c r="AL68" s="12"/>
      <c r="AM68" s="12"/>
      <c r="AN68" s="12"/>
      <c r="AO68" s="12"/>
      <c r="AP68" s="12"/>
      <c r="AQ68" s="12"/>
      <c r="AR68" s="35"/>
      <c r="AS68" s="85"/>
    </row>
    <row r="69" ht="14.25" customHeight="1">
      <c r="A69" s="12"/>
      <c r="B69" s="31"/>
      <c r="C69" s="12"/>
      <c r="D69" s="12"/>
      <c r="E69" s="12"/>
      <c r="F69" s="12"/>
      <c r="G69" s="12"/>
      <c r="H69" s="12"/>
      <c r="I69" s="21"/>
      <c r="J69" s="12"/>
      <c r="K69" s="35"/>
      <c r="L69" s="12"/>
      <c r="M69" s="31"/>
      <c r="N69" s="12"/>
      <c r="O69" s="12"/>
      <c r="P69" s="12"/>
      <c r="Q69" s="12"/>
      <c r="R69" s="12"/>
      <c r="S69" s="12"/>
      <c r="T69" s="12"/>
      <c r="U69" s="12"/>
      <c r="V69" s="35"/>
      <c r="W69" s="12"/>
      <c r="X69" s="31"/>
      <c r="Y69" s="12"/>
      <c r="Z69" s="12"/>
      <c r="AA69" s="12"/>
      <c r="AB69" s="12"/>
      <c r="AC69" s="12"/>
      <c r="AD69" s="12"/>
      <c r="AE69" s="12"/>
      <c r="AF69" s="12"/>
      <c r="AG69" s="35"/>
      <c r="AH69" s="12"/>
      <c r="AI69" s="31"/>
      <c r="AJ69" s="12"/>
      <c r="AK69" s="12"/>
      <c r="AL69" s="12"/>
      <c r="AM69" s="12"/>
      <c r="AN69" s="12"/>
      <c r="AO69" s="12"/>
      <c r="AP69" s="12"/>
      <c r="AQ69" s="12"/>
      <c r="AR69" s="35"/>
      <c r="AS69" s="12"/>
    </row>
    <row r="70" ht="34.5" customHeight="1">
      <c r="A70" s="12"/>
      <c r="B70" s="31"/>
      <c r="C70" s="40" t="s">
        <v>46</v>
      </c>
      <c r="D70" s="4"/>
      <c r="E70" s="4"/>
      <c r="F70" s="4"/>
      <c r="G70" s="4"/>
      <c r="H70" s="4"/>
      <c r="I70" s="4"/>
      <c r="J70" s="5"/>
      <c r="K70" s="35"/>
      <c r="L70" s="12"/>
      <c r="M70" s="31"/>
      <c r="N70" s="40" t="s">
        <v>46</v>
      </c>
      <c r="O70" s="4"/>
      <c r="P70" s="4"/>
      <c r="Q70" s="4"/>
      <c r="R70" s="4"/>
      <c r="S70" s="4"/>
      <c r="T70" s="4"/>
      <c r="U70" s="5"/>
      <c r="V70" s="35"/>
      <c r="W70" s="12"/>
      <c r="X70" s="31"/>
      <c r="Y70" s="40" t="s">
        <v>46</v>
      </c>
      <c r="Z70" s="4"/>
      <c r="AA70" s="4"/>
      <c r="AB70" s="4"/>
      <c r="AC70" s="4"/>
      <c r="AD70" s="4"/>
      <c r="AE70" s="4"/>
      <c r="AF70" s="5"/>
      <c r="AG70" s="35"/>
      <c r="AH70" s="63"/>
      <c r="AI70" s="31"/>
      <c r="AJ70" s="40" t="s">
        <v>46</v>
      </c>
      <c r="AK70" s="4"/>
      <c r="AL70" s="4"/>
      <c r="AM70" s="4"/>
      <c r="AN70" s="4"/>
      <c r="AO70" s="4"/>
      <c r="AP70" s="4"/>
      <c r="AQ70" s="5"/>
      <c r="AR70" s="35"/>
      <c r="AS70" s="12"/>
    </row>
    <row r="71" ht="14.25" customHeight="1">
      <c r="A71" s="12"/>
      <c r="B71" s="31"/>
      <c r="C71" s="70" t="s">
        <v>30</v>
      </c>
      <c r="D71" s="42" t="s">
        <v>31</v>
      </c>
      <c r="E71" s="42" t="s">
        <v>32</v>
      </c>
      <c r="F71" s="43" t="s">
        <v>33</v>
      </c>
      <c r="G71" s="43" t="s">
        <v>34</v>
      </c>
      <c r="H71" s="42" t="s">
        <v>35</v>
      </c>
      <c r="I71" s="44" t="s">
        <v>36</v>
      </c>
      <c r="J71" s="45" t="s">
        <v>37</v>
      </c>
      <c r="K71" s="35"/>
      <c r="L71" s="12"/>
      <c r="M71" s="31"/>
      <c r="N71" s="70" t="s">
        <v>30</v>
      </c>
      <c r="O71" s="42" t="s">
        <v>31</v>
      </c>
      <c r="P71" s="42" t="s">
        <v>32</v>
      </c>
      <c r="Q71" s="43" t="s">
        <v>33</v>
      </c>
      <c r="R71" s="43" t="s">
        <v>34</v>
      </c>
      <c r="S71" s="42" t="s">
        <v>35</v>
      </c>
      <c r="T71" s="67" t="s">
        <v>36</v>
      </c>
      <c r="U71" s="45" t="s">
        <v>37</v>
      </c>
      <c r="V71" s="35"/>
      <c r="W71" s="63"/>
      <c r="X71" s="31"/>
      <c r="Y71" s="70" t="s">
        <v>30</v>
      </c>
      <c r="Z71" s="42" t="s">
        <v>31</v>
      </c>
      <c r="AA71" s="42" t="s">
        <v>32</v>
      </c>
      <c r="AB71" s="43" t="s">
        <v>33</v>
      </c>
      <c r="AC71" s="43" t="s">
        <v>34</v>
      </c>
      <c r="AD71" s="42" t="s">
        <v>35</v>
      </c>
      <c r="AE71" s="44" t="s">
        <v>36</v>
      </c>
      <c r="AF71" s="45" t="s">
        <v>37</v>
      </c>
      <c r="AG71" s="35"/>
      <c r="AH71" s="69"/>
      <c r="AI71" s="31"/>
      <c r="AJ71" s="241" t="s">
        <v>30</v>
      </c>
      <c r="AK71" s="43" t="s">
        <v>31</v>
      </c>
      <c r="AL71" s="43" t="s">
        <v>32</v>
      </c>
      <c r="AM71" s="43" t="s">
        <v>33</v>
      </c>
      <c r="AN71" s="43" t="s">
        <v>34</v>
      </c>
      <c r="AO71" s="43" t="s">
        <v>35</v>
      </c>
      <c r="AP71" s="65" t="s">
        <v>36</v>
      </c>
      <c r="AQ71" s="45" t="s">
        <v>37</v>
      </c>
      <c r="AR71" s="35"/>
      <c r="AS71" s="63"/>
    </row>
    <row r="72" ht="14.25" customHeight="1">
      <c r="A72" s="12"/>
      <c r="B72" s="31"/>
      <c r="C72" s="71" t="str">
        <f>SUM(C8+C8+C13+C18+C18)</f>
        <v>#ERROR!</v>
      </c>
      <c r="D72" s="25">
        <v>1.0</v>
      </c>
      <c r="E72" s="242">
        <v>0.6</v>
      </c>
      <c r="F72" s="51" t="str">
        <f>H72</f>
        <v>#ERROR!</v>
      </c>
      <c r="G72" s="51">
        <v>0.0</v>
      </c>
      <c r="H72" s="51" t="str">
        <f>C72-(C72*E72)</f>
        <v>#ERROR!</v>
      </c>
      <c r="I72" s="72" t="str">
        <f>H72/J72</f>
        <v>#ERROR!</v>
      </c>
      <c r="J72" s="25">
        <v>906.0</v>
      </c>
      <c r="K72" s="35"/>
      <c r="L72" s="12"/>
      <c r="M72" s="31"/>
      <c r="N72" s="71" t="str">
        <f>SUM(N8+N8+N13+N18+N18)</f>
        <v>#ERROR!</v>
      </c>
      <c r="O72" s="48">
        <v>1.0</v>
      </c>
      <c r="P72" s="49" t="str">
        <f>(N72-S72)/N72</f>
        <v>#ERROR!</v>
      </c>
      <c r="Q72" s="51" t="str">
        <f>S72</f>
        <v>#ERROR!</v>
      </c>
      <c r="R72" s="51">
        <v>0.0</v>
      </c>
      <c r="S72" s="51" t="str">
        <f t="shared" ref="S72:S73" si="37">H72*0.9</f>
        <v>#ERROR!</v>
      </c>
      <c r="T72" s="51" t="str">
        <f>S72/U72</f>
        <v>#ERROR!</v>
      </c>
      <c r="U72" s="48">
        <v>906.0</v>
      </c>
      <c r="V72" s="35"/>
      <c r="W72" s="69"/>
      <c r="X72" s="31"/>
      <c r="Y72" s="71" t="str">
        <f>SUM(Y8+Y8+Y13+Y18+Y18)</f>
        <v>#ERROR!</v>
      </c>
      <c r="Z72" s="48">
        <v>1.0</v>
      </c>
      <c r="AA72" s="49" t="str">
        <f>(Y72-AD72)/Y72</f>
        <v>#ERROR!</v>
      </c>
      <c r="AB72" s="51" t="str">
        <f>AD72</f>
        <v>#ERROR!</v>
      </c>
      <c r="AC72" s="51">
        <v>0.0</v>
      </c>
      <c r="AD72" s="51" t="str">
        <f t="shared" ref="AD72:AD73" si="38">H72*0.85</f>
        <v>#ERROR!</v>
      </c>
      <c r="AE72" s="53" t="str">
        <f>AD72/AF72</f>
        <v>#ERROR!</v>
      </c>
      <c r="AF72" s="48">
        <v>906.0</v>
      </c>
      <c r="AG72" s="35"/>
      <c r="AH72" s="21"/>
      <c r="AI72" s="31"/>
      <c r="AJ72" s="71" t="str">
        <f>SUM(AJ8+AJ8+AJ13+AJ18+AJ18)</f>
        <v>#ERROR!</v>
      </c>
      <c r="AK72" s="48">
        <v>1.0</v>
      </c>
      <c r="AL72" s="49" t="str">
        <f>(AJ72-AO72)/AJ72</f>
        <v>#ERROR!</v>
      </c>
      <c r="AM72" s="51" t="str">
        <f>AO72</f>
        <v>#ERROR!</v>
      </c>
      <c r="AN72" s="51">
        <v>0.0</v>
      </c>
      <c r="AO72" s="51" t="str">
        <f t="shared" ref="AO72:AO73" si="39">H72*0.8</f>
        <v>#ERROR!</v>
      </c>
      <c r="AP72" s="51" t="str">
        <f>AO72/AQ72</f>
        <v>#ERROR!</v>
      </c>
      <c r="AQ72" s="48">
        <v>906.0</v>
      </c>
      <c r="AR72" s="35"/>
      <c r="AS72" s="69"/>
    </row>
    <row r="73" ht="14.25" customHeight="1">
      <c r="A73" s="12"/>
      <c r="B73" s="31"/>
      <c r="C73" s="58"/>
      <c r="D73" s="25">
        <v>24.0</v>
      </c>
      <c r="E73" s="242">
        <v>0.4</v>
      </c>
      <c r="F73" s="59" t="str">
        <f>H73/D73</f>
        <v>#ERROR!</v>
      </c>
      <c r="G73" s="51" t="str">
        <f>(H73-F73)/(D73-1)</f>
        <v>#ERROR!</v>
      </c>
      <c r="H73" s="51" t="str">
        <f>C72-(C72*E73)</f>
        <v>#ERROR!</v>
      </c>
      <c r="I73" s="72" t="str">
        <f>H73/J72</f>
        <v>#ERROR!</v>
      </c>
      <c r="J73" s="73">
        <f>J72/D73</f>
        <v>37.75</v>
      </c>
      <c r="K73" s="35"/>
      <c r="L73" s="12"/>
      <c r="M73" s="31"/>
      <c r="N73" s="58"/>
      <c r="O73" s="48">
        <f>D73</f>
        <v>24</v>
      </c>
      <c r="P73" s="49" t="str">
        <f>(N72-S73)/N72</f>
        <v>#ERROR!</v>
      </c>
      <c r="Q73" s="59" t="str">
        <f>F73-(F73*10%)</f>
        <v>#ERROR!</v>
      </c>
      <c r="R73" s="51" t="str">
        <f>(S73-Q73)/(O73-1)</f>
        <v>#ERROR!</v>
      </c>
      <c r="S73" s="51" t="str">
        <f t="shared" si="37"/>
        <v>#ERROR!</v>
      </c>
      <c r="T73" s="51" t="str">
        <f>S73/U72</f>
        <v>#ERROR!</v>
      </c>
      <c r="U73" s="60">
        <f>U72/O73</f>
        <v>37.75</v>
      </c>
      <c r="V73" s="35"/>
      <c r="W73" s="21"/>
      <c r="X73" s="31"/>
      <c r="Y73" s="58"/>
      <c r="Z73" s="48">
        <f>+D73</f>
        <v>24</v>
      </c>
      <c r="AA73" s="201" t="str">
        <f>(Y72-AD73)/Y72</f>
        <v>#ERROR!</v>
      </c>
      <c r="AB73" s="59" t="str">
        <f>F73-(F73*15%)</f>
        <v>#ERROR!</v>
      </c>
      <c r="AC73" s="51" t="str">
        <f>(AD73-AB73)/(Z73-1)</f>
        <v>#ERROR!</v>
      </c>
      <c r="AD73" s="51" t="str">
        <f t="shared" si="38"/>
        <v>#ERROR!</v>
      </c>
      <c r="AE73" s="53" t="str">
        <f>AD73/AF72</f>
        <v>#ERROR!</v>
      </c>
      <c r="AF73" s="60">
        <f>AF72/Z73</f>
        <v>37.75</v>
      </c>
      <c r="AG73" s="35"/>
      <c r="AH73" s="85"/>
      <c r="AI73" s="31"/>
      <c r="AJ73" s="58"/>
      <c r="AK73" s="48">
        <f>+D73</f>
        <v>24</v>
      </c>
      <c r="AL73" s="201" t="str">
        <f>(AJ72-AO73)/AJ72</f>
        <v>#ERROR!</v>
      </c>
      <c r="AM73" s="59" t="str">
        <f>F73-(F73*20%)</f>
        <v>#ERROR!</v>
      </c>
      <c r="AN73" s="51" t="str">
        <f>(AO73-AM73)/(AK73-1)</f>
        <v>#ERROR!</v>
      </c>
      <c r="AO73" s="51" t="str">
        <f t="shared" si="39"/>
        <v>#ERROR!</v>
      </c>
      <c r="AP73" s="51" t="str">
        <f>AO73/AQ72</f>
        <v>#ERROR!</v>
      </c>
      <c r="AQ73" s="60">
        <f>AQ72/AK73</f>
        <v>37.75</v>
      </c>
      <c r="AR73" s="35"/>
      <c r="AS73" s="21"/>
    </row>
    <row r="74" ht="14.25" customHeight="1">
      <c r="A74" s="12"/>
      <c r="B74" s="75"/>
      <c r="C74" s="76"/>
      <c r="D74" s="76"/>
      <c r="E74" s="76"/>
      <c r="F74" s="76"/>
      <c r="G74" s="76"/>
      <c r="H74" s="76"/>
      <c r="I74" s="78"/>
      <c r="J74" s="76"/>
      <c r="K74" s="79"/>
      <c r="L74" s="12"/>
      <c r="M74" s="75"/>
      <c r="N74" s="76"/>
      <c r="O74" s="76"/>
      <c r="P74" s="76"/>
      <c r="Q74" s="76"/>
      <c r="R74" s="76"/>
      <c r="S74" s="76"/>
      <c r="T74" s="76"/>
      <c r="U74" s="76"/>
      <c r="V74" s="79"/>
      <c r="W74" s="85"/>
      <c r="X74" s="75"/>
      <c r="Y74" s="76"/>
      <c r="Z74" s="76"/>
      <c r="AA74" s="76"/>
      <c r="AB74" s="76"/>
      <c r="AC74" s="76"/>
      <c r="AD74" s="76"/>
      <c r="AE74" s="76"/>
      <c r="AF74" s="76"/>
      <c r="AG74" s="79"/>
      <c r="AH74" s="12"/>
      <c r="AI74" s="75"/>
      <c r="AJ74" s="76"/>
      <c r="AK74" s="76"/>
      <c r="AL74" s="76"/>
      <c r="AM74" s="76"/>
      <c r="AN74" s="76"/>
      <c r="AO74" s="76"/>
      <c r="AP74" s="76"/>
      <c r="AQ74" s="76"/>
      <c r="AR74" s="79"/>
      <c r="AS74" s="85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2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</row>
    <row r="76" ht="14.25" customHeight="1">
      <c r="D76" s="10"/>
      <c r="E76" s="10"/>
      <c r="F76" s="10"/>
      <c r="G76" s="10"/>
      <c r="H76" s="80"/>
      <c r="I76" s="81"/>
      <c r="N76" s="10"/>
      <c r="W76" s="12"/>
      <c r="AD76" s="10"/>
      <c r="AJ76" s="10"/>
      <c r="AL76" s="10"/>
      <c r="AM76" s="10"/>
      <c r="AS76" s="12"/>
    </row>
    <row r="77" ht="14.25" customHeight="1">
      <c r="G77" s="82"/>
      <c r="H77" s="83"/>
      <c r="I77" s="81"/>
      <c r="N77" s="10"/>
      <c r="Y77" s="10"/>
      <c r="AJ77" s="10"/>
    </row>
    <row r="78" ht="14.25" customHeight="1">
      <c r="H78" s="83"/>
      <c r="I78" s="81"/>
      <c r="J78" s="10"/>
      <c r="Y78" s="10"/>
    </row>
    <row r="79" ht="14.25" customHeight="1">
      <c r="I79" s="6"/>
    </row>
    <row r="80" ht="14.25" customHeight="1">
      <c r="I80" s="6"/>
    </row>
    <row r="81" ht="14.25" customHeight="1">
      <c r="I81" s="6"/>
    </row>
    <row r="82" ht="14.25" customHeight="1">
      <c r="I82" s="6"/>
    </row>
    <row r="83" ht="14.25" customHeight="1">
      <c r="I83" s="6"/>
    </row>
    <row r="84" ht="14.25" customHeight="1">
      <c r="I84" s="6"/>
    </row>
    <row r="85" ht="14.25" customHeight="1">
      <c r="I85" s="6"/>
    </row>
    <row r="86" ht="14.25" customHeight="1">
      <c r="I86" s="6"/>
    </row>
    <row r="87" ht="14.25" customHeight="1">
      <c r="I87" s="6"/>
    </row>
    <row r="88" ht="14.25" customHeight="1">
      <c r="I88" s="6"/>
    </row>
    <row r="89" ht="14.25" customHeight="1">
      <c r="I89" s="6"/>
    </row>
    <row r="90" ht="14.25" customHeight="1">
      <c r="I90" s="6"/>
    </row>
    <row r="91" ht="14.25" customHeight="1">
      <c r="I91" s="6"/>
    </row>
    <row r="92" ht="14.25" customHeight="1">
      <c r="I92" s="6"/>
    </row>
    <row r="93" ht="14.25" customHeight="1">
      <c r="I93" s="6"/>
    </row>
    <row r="94" ht="14.25" customHeight="1">
      <c r="I94" s="6"/>
    </row>
    <row r="95" ht="14.25" customHeight="1">
      <c r="I95" s="6"/>
    </row>
    <row r="96" ht="14.25" customHeight="1">
      <c r="I96" s="6"/>
    </row>
    <row r="97" ht="14.25" customHeight="1">
      <c r="I97" s="6"/>
    </row>
    <row r="98" ht="14.25" customHeight="1">
      <c r="I98" s="6"/>
    </row>
    <row r="99" ht="14.25" customHeight="1">
      <c r="I99" s="6"/>
    </row>
    <row r="100" ht="14.25" customHeight="1">
      <c r="I100" s="6"/>
    </row>
    <row r="101" ht="14.25" customHeight="1">
      <c r="I101" s="6"/>
    </row>
    <row r="102" ht="14.25" customHeight="1">
      <c r="I102" s="6"/>
    </row>
    <row r="103" ht="14.25" customHeight="1">
      <c r="I103" s="6"/>
    </row>
    <row r="104" ht="14.25" customHeight="1">
      <c r="I104" s="6"/>
    </row>
    <row r="105" ht="14.25" customHeight="1">
      <c r="I105" s="6"/>
    </row>
    <row r="106" ht="14.25" customHeight="1">
      <c r="I106" s="6"/>
    </row>
    <row r="107" ht="14.25" customHeight="1">
      <c r="I107" s="6"/>
    </row>
    <row r="108" ht="14.25" customHeight="1">
      <c r="I108" s="6"/>
    </row>
    <row r="109" ht="14.25" customHeight="1">
      <c r="I109" s="6"/>
    </row>
    <row r="110" ht="14.25" customHeight="1">
      <c r="I110" s="6"/>
    </row>
    <row r="111" ht="14.25" customHeight="1">
      <c r="I111" s="6"/>
    </row>
    <row r="112" ht="14.25" customHeight="1">
      <c r="I112" s="6"/>
    </row>
    <row r="113" ht="14.25" customHeight="1">
      <c r="I113" s="6"/>
    </row>
    <row r="114" ht="14.25" customHeight="1">
      <c r="I114" s="6"/>
    </row>
    <row r="115" ht="14.25" customHeight="1">
      <c r="I115" s="6"/>
    </row>
    <row r="116" ht="14.25" customHeight="1">
      <c r="I116" s="6"/>
    </row>
    <row r="117" ht="14.25" customHeight="1">
      <c r="I117" s="6"/>
    </row>
    <row r="118" ht="14.25" customHeight="1">
      <c r="I118" s="6"/>
    </row>
    <row r="119" ht="14.25" customHeight="1">
      <c r="I119" s="6"/>
    </row>
    <row r="120" ht="14.25" customHeight="1">
      <c r="I120" s="6"/>
    </row>
    <row r="121" ht="14.25" customHeight="1">
      <c r="I121" s="6"/>
    </row>
    <row r="122" ht="14.25" customHeight="1">
      <c r="I122" s="6"/>
    </row>
    <row r="123" ht="14.25" customHeight="1">
      <c r="I123" s="6"/>
    </row>
    <row r="124" ht="14.25" customHeight="1">
      <c r="I124" s="6"/>
    </row>
    <row r="125" ht="14.25" customHeight="1">
      <c r="I125" s="6"/>
    </row>
    <row r="126" ht="14.25" customHeight="1">
      <c r="I126" s="6"/>
    </row>
    <row r="127" ht="14.25" customHeight="1">
      <c r="I127" s="6"/>
    </row>
    <row r="128" ht="14.25" customHeight="1">
      <c r="I128" s="6"/>
    </row>
    <row r="129" ht="14.25" customHeight="1">
      <c r="I129" s="6"/>
    </row>
    <row r="130" ht="14.25" customHeight="1">
      <c r="I130" s="6"/>
    </row>
    <row r="131" ht="14.25" customHeight="1">
      <c r="I131" s="6"/>
    </row>
    <row r="132" ht="14.25" customHeight="1">
      <c r="I132" s="6"/>
    </row>
    <row r="133" ht="14.25" customHeight="1">
      <c r="I133" s="6"/>
    </row>
    <row r="134" ht="14.25" customHeight="1">
      <c r="I134" s="6"/>
    </row>
    <row r="135" ht="14.25" customHeight="1">
      <c r="I135" s="6"/>
    </row>
    <row r="136" ht="14.25" customHeight="1">
      <c r="I136" s="6"/>
    </row>
    <row r="137" ht="14.25" customHeight="1">
      <c r="I137" s="6"/>
    </row>
    <row r="138" ht="14.25" customHeight="1">
      <c r="I138" s="6"/>
    </row>
    <row r="139" ht="14.25" customHeight="1">
      <c r="I139" s="6"/>
    </row>
    <row r="140" ht="14.25" customHeight="1">
      <c r="I140" s="6"/>
    </row>
    <row r="141" ht="14.25" customHeight="1">
      <c r="I141" s="6"/>
    </row>
    <row r="142" ht="14.25" customHeight="1">
      <c r="I142" s="6"/>
    </row>
    <row r="143" ht="14.25" customHeight="1">
      <c r="I143" s="6"/>
    </row>
    <row r="144" ht="14.25" customHeight="1">
      <c r="I144" s="6"/>
    </row>
    <row r="145" ht="14.25" customHeight="1">
      <c r="I145" s="6"/>
    </row>
    <row r="146" ht="14.25" customHeight="1">
      <c r="I146" s="6"/>
    </row>
    <row r="147" ht="14.25" customHeight="1">
      <c r="I147" s="6"/>
    </row>
    <row r="148" ht="14.25" customHeight="1">
      <c r="I148" s="6"/>
    </row>
    <row r="149" ht="14.25" customHeight="1">
      <c r="I149" s="6"/>
    </row>
    <row r="150" ht="14.25" customHeight="1">
      <c r="I150" s="6"/>
    </row>
    <row r="151" ht="14.25" customHeight="1">
      <c r="I151" s="6"/>
    </row>
    <row r="152" ht="14.25" customHeight="1">
      <c r="I152" s="6"/>
    </row>
    <row r="153" ht="14.25" customHeight="1">
      <c r="I153" s="6"/>
    </row>
    <row r="154" ht="14.25" customHeight="1">
      <c r="I154" s="6"/>
    </row>
    <row r="155" ht="14.25" customHeight="1">
      <c r="I155" s="6"/>
    </row>
    <row r="156" ht="14.25" customHeight="1">
      <c r="I156" s="6"/>
    </row>
    <row r="157" ht="14.25" customHeight="1">
      <c r="I157" s="6"/>
    </row>
    <row r="158" ht="14.25" customHeight="1">
      <c r="I158" s="6"/>
    </row>
    <row r="159" ht="14.25" customHeight="1">
      <c r="I159" s="6"/>
    </row>
    <row r="160" ht="14.25" customHeight="1">
      <c r="I160" s="6"/>
    </row>
    <row r="161" ht="14.25" customHeight="1">
      <c r="I161" s="6"/>
    </row>
    <row r="162" ht="14.25" customHeight="1">
      <c r="I162" s="6"/>
    </row>
    <row r="163" ht="14.25" customHeight="1">
      <c r="I163" s="6"/>
    </row>
    <row r="164" ht="14.25" customHeight="1">
      <c r="I164" s="6"/>
    </row>
    <row r="165" ht="14.25" customHeight="1">
      <c r="I165" s="6"/>
    </row>
    <row r="166" ht="14.25" customHeight="1">
      <c r="I166" s="6"/>
    </row>
    <row r="167" ht="14.25" customHeight="1">
      <c r="I167" s="6"/>
    </row>
    <row r="168" ht="14.25" customHeight="1">
      <c r="I168" s="6"/>
    </row>
    <row r="169" ht="14.25" customHeight="1">
      <c r="I169" s="6"/>
    </row>
    <row r="170" ht="14.25" customHeight="1">
      <c r="I170" s="6"/>
    </row>
    <row r="171" ht="14.25" customHeight="1">
      <c r="I171" s="6"/>
    </row>
    <row r="172" ht="14.25" customHeight="1">
      <c r="I172" s="6"/>
    </row>
    <row r="173" ht="14.25" customHeight="1">
      <c r="I173" s="6"/>
    </row>
    <row r="174" ht="14.25" customHeight="1">
      <c r="I174" s="6"/>
    </row>
    <row r="175" ht="14.25" customHeight="1">
      <c r="I175" s="6"/>
    </row>
    <row r="176" ht="14.25" customHeight="1">
      <c r="I176" s="6"/>
    </row>
    <row r="177" ht="14.25" customHeight="1">
      <c r="I177" s="6"/>
    </row>
    <row r="178" ht="14.25" customHeight="1">
      <c r="I178" s="6"/>
    </row>
    <row r="179" ht="14.25" customHeight="1">
      <c r="I179" s="6"/>
    </row>
    <row r="180" ht="14.25" customHeight="1">
      <c r="I180" s="6"/>
    </row>
    <row r="181" ht="14.25" customHeight="1">
      <c r="I181" s="6"/>
    </row>
    <row r="182" ht="14.25" customHeight="1">
      <c r="I182" s="6"/>
    </row>
    <row r="183" ht="14.25" customHeight="1">
      <c r="I183" s="6"/>
    </row>
    <row r="184" ht="14.25" customHeight="1">
      <c r="I184" s="6"/>
    </row>
    <row r="185" ht="14.25" customHeight="1">
      <c r="I185" s="6"/>
    </row>
    <row r="186" ht="14.25" customHeight="1">
      <c r="I186" s="6"/>
    </row>
    <row r="187" ht="14.25" customHeight="1">
      <c r="I187" s="6"/>
    </row>
    <row r="188" ht="14.25" customHeight="1">
      <c r="I188" s="6"/>
    </row>
    <row r="189" ht="14.25" customHeight="1">
      <c r="I189" s="6"/>
    </row>
    <row r="190" ht="14.25" customHeight="1">
      <c r="I190" s="6"/>
    </row>
    <row r="191" ht="14.25" customHeight="1">
      <c r="I191" s="6"/>
    </row>
    <row r="192" ht="14.25" customHeight="1">
      <c r="I192" s="6"/>
    </row>
    <row r="193" ht="14.25" customHeight="1">
      <c r="I193" s="6"/>
    </row>
    <row r="194" ht="14.25" customHeight="1">
      <c r="I194" s="6"/>
    </row>
    <row r="195" ht="14.25" customHeight="1">
      <c r="I195" s="6"/>
    </row>
    <row r="196" ht="14.25" customHeight="1">
      <c r="I196" s="6"/>
    </row>
    <row r="197" ht="14.25" customHeight="1">
      <c r="I197" s="6"/>
    </row>
    <row r="198" ht="14.25" customHeight="1">
      <c r="I198" s="6"/>
    </row>
    <row r="199" ht="14.25" customHeight="1">
      <c r="I199" s="6"/>
    </row>
    <row r="200" ht="14.25" customHeight="1">
      <c r="I200" s="6"/>
    </row>
    <row r="201" ht="14.25" customHeight="1">
      <c r="I201" s="6"/>
    </row>
    <row r="202" ht="14.25" customHeight="1">
      <c r="I202" s="6"/>
    </row>
    <row r="203" ht="14.25" customHeight="1">
      <c r="I203" s="6"/>
    </row>
    <row r="204" ht="14.25" customHeight="1">
      <c r="I204" s="6"/>
    </row>
    <row r="205" ht="14.25" customHeight="1">
      <c r="I205" s="6"/>
    </row>
    <row r="206" ht="14.25" customHeight="1">
      <c r="I206" s="6"/>
    </row>
    <row r="207" ht="14.25" customHeight="1">
      <c r="I207" s="6"/>
    </row>
    <row r="208" ht="14.25" customHeight="1">
      <c r="I208" s="6"/>
    </row>
    <row r="209" ht="14.25" customHeight="1">
      <c r="I209" s="6"/>
    </row>
    <row r="210" ht="14.25" customHeight="1">
      <c r="I210" s="6"/>
    </row>
    <row r="211" ht="14.25" customHeight="1">
      <c r="I211" s="6"/>
    </row>
    <row r="212" ht="14.25" customHeight="1">
      <c r="I212" s="6"/>
    </row>
    <row r="213" ht="14.25" customHeight="1">
      <c r="I213" s="6"/>
    </row>
    <row r="214" ht="14.25" customHeight="1">
      <c r="I214" s="6"/>
    </row>
    <row r="215" ht="14.25" customHeight="1">
      <c r="I215" s="6"/>
    </row>
    <row r="216" ht="14.25" customHeight="1">
      <c r="I216" s="6"/>
    </row>
    <row r="217" ht="14.25" customHeight="1">
      <c r="I217" s="6"/>
    </row>
    <row r="218" ht="14.25" customHeight="1">
      <c r="I218" s="6"/>
    </row>
    <row r="219" ht="14.25" customHeight="1">
      <c r="I219" s="6"/>
    </row>
    <row r="220" ht="14.25" customHeight="1">
      <c r="I220" s="6"/>
    </row>
    <row r="221" ht="14.25" customHeight="1">
      <c r="I221" s="6"/>
    </row>
    <row r="222" ht="14.25" customHeight="1">
      <c r="I222" s="6"/>
    </row>
    <row r="223" ht="14.25" customHeight="1">
      <c r="I223" s="6"/>
    </row>
    <row r="224" ht="14.25" customHeight="1">
      <c r="I224" s="6"/>
    </row>
    <row r="225" ht="14.25" customHeight="1">
      <c r="I225" s="6"/>
    </row>
    <row r="226" ht="14.25" customHeight="1">
      <c r="I226" s="6"/>
    </row>
    <row r="227" ht="14.25" customHeight="1">
      <c r="I227" s="6"/>
    </row>
    <row r="228" ht="14.25" customHeight="1">
      <c r="I228" s="6"/>
    </row>
    <row r="229" ht="14.25" customHeight="1">
      <c r="I229" s="6"/>
    </row>
    <row r="230" ht="14.25" customHeight="1">
      <c r="I230" s="6"/>
    </row>
    <row r="231" ht="14.25" customHeight="1">
      <c r="I231" s="6"/>
    </row>
    <row r="232" ht="14.25" customHeight="1">
      <c r="I232" s="6"/>
    </row>
    <row r="233" ht="14.25" customHeight="1">
      <c r="I233" s="6"/>
    </row>
    <row r="234" ht="14.25" customHeight="1">
      <c r="I234" s="6"/>
    </row>
    <row r="235" ht="14.25" customHeight="1">
      <c r="I235" s="6"/>
    </row>
    <row r="236" ht="14.25" customHeight="1">
      <c r="I236" s="6"/>
    </row>
    <row r="237" ht="14.25" customHeight="1">
      <c r="I237" s="6"/>
    </row>
    <row r="238" ht="14.25" customHeight="1">
      <c r="I238" s="6"/>
    </row>
    <row r="239" ht="14.25" customHeight="1">
      <c r="I239" s="6"/>
    </row>
    <row r="240" ht="14.25" customHeight="1">
      <c r="I240" s="6"/>
    </row>
    <row r="241" ht="14.25" customHeight="1">
      <c r="I241" s="6"/>
    </row>
    <row r="242" ht="14.25" customHeight="1">
      <c r="I242" s="6"/>
    </row>
    <row r="243" ht="14.25" customHeight="1">
      <c r="I243" s="6"/>
    </row>
    <row r="244" ht="14.25" customHeight="1">
      <c r="I244" s="6"/>
    </row>
    <row r="245" ht="14.25" customHeight="1">
      <c r="I245" s="6"/>
    </row>
    <row r="246" ht="14.25" customHeight="1">
      <c r="I246" s="6"/>
    </row>
    <row r="247" ht="14.25" customHeight="1">
      <c r="I247" s="6"/>
    </row>
    <row r="248" ht="14.25" customHeight="1">
      <c r="I248" s="6"/>
    </row>
    <row r="249" ht="14.25" customHeight="1">
      <c r="I249" s="6"/>
    </row>
    <row r="250" ht="14.25" customHeight="1">
      <c r="I250" s="6"/>
    </row>
    <row r="251" ht="14.25" customHeight="1">
      <c r="I251" s="6"/>
    </row>
    <row r="252" ht="14.25" customHeight="1">
      <c r="I252" s="6"/>
    </row>
    <row r="253" ht="14.25" customHeight="1">
      <c r="I253" s="6"/>
    </row>
    <row r="254" ht="14.25" customHeight="1">
      <c r="I254" s="6"/>
    </row>
    <row r="255" ht="14.25" customHeight="1">
      <c r="I255" s="6"/>
    </row>
    <row r="256" ht="14.25" customHeight="1">
      <c r="I256" s="6"/>
    </row>
    <row r="257" ht="14.25" customHeight="1">
      <c r="I257" s="6"/>
    </row>
    <row r="258" ht="14.25" customHeight="1">
      <c r="I258" s="6"/>
    </row>
    <row r="259" ht="14.25" customHeight="1">
      <c r="I259" s="6"/>
    </row>
    <row r="260" ht="14.25" customHeight="1">
      <c r="I260" s="6"/>
    </row>
    <row r="261" ht="14.25" customHeight="1">
      <c r="I261" s="6"/>
    </row>
    <row r="262" ht="14.25" customHeight="1">
      <c r="I262" s="6"/>
    </row>
    <row r="263" ht="14.25" customHeight="1">
      <c r="I263" s="6"/>
    </row>
    <row r="264" ht="14.25" customHeight="1">
      <c r="I264" s="6"/>
    </row>
    <row r="265" ht="14.25" customHeight="1">
      <c r="I265" s="6"/>
    </row>
    <row r="266" ht="14.25" customHeight="1">
      <c r="I266" s="6"/>
    </row>
    <row r="267" ht="14.25" customHeight="1">
      <c r="I267" s="6"/>
    </row>
    <row r="268" ht="14.25" customHeight="1">
      <c r="I268" s="6"/>
    </row>
    <row r="269" ht="14.25" customHeight="1">
      <c r="I269" s="6"/>
    </row>
    <row r="270" ht="14.25" customHeight="1">
      <c r="I270" s="6"/>
    </row>
    <row r="271" ht="14.25" customHeight="1">
      <c r="I271" s="6"/>
    </row>
    <row r="272" ht="14.25" customHeight="1">
      <c r="I272" s="6"/>
    </row>
    <row r="273" ht="14.25" customHeight="1">
      <c r="I273" s="6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Y24:Y25"/>
    <mergeCell ref="AJ24:AJ25"/>
    <mergeCell ref="C18:C19"/>
    <mergeCell ref="Y18:Y19"/>
    <mergeCell ref="C22:J22"/>
    <mergeCell ref="N22:U22"/>
    <mergeCell ref="Y22:AF22"/>
    <mergeCell ref="AJ22:AQ22"/>
    <mergeCell ref="C24:C25"/>
    <mergeCell ref="N18:N19"/>
    <mergeCell ref="N24:N25"/>
    <mergeCell ref="C27:J27"/>
    <mergeCell ref="N27:U27"/>
    <mergeCell ref="Y27:AF27"/>
    <mergeCell ref="AJ27:AQ27"/>
    <mergeCell ref="C29:C30"/>
    <mergeCell ref="AJ29:AJ30"/>
    <mergeCell ref="N29:N30"/>
    <mergeCell ref="C32:J32"/>
    <mergeCell ref="N32:U32"/>
    <mergeCell ref="Y32:AF32"/>
    <mergeCell ref="AJ32:AQ32"/>
    <mergeCell ref="C34:C35"/>
    <mergeCell ref="N34:N35"/>
    <mergeCell ref="AJ34:AJ35"/>
    <mergeCell ref="Y34:Y35"/>
    <mergeCell ref="Y39:Y40"/>
    <mergeCell ref="Y29:Y30"/>
    <mergeCell ref="C37:J37"/>
    <mergeCell ref="N37:U37"/>
    <mergeCell ref="Y37:AF37"/>
    <mergeCell ref="AJ37:AQ37"/>
    <mergeCell ref="N39:N40"/>
    <mergeCell ref="AJ39:AJ40"/>
    <mergeCell ref="Y45:Y46"/>
    <mergeCell ref="AJ45:AJ46"/>
    <mergeCell ref="C39:C40"/>
    <mergeCell ref="C43:J43"/>
    <mergeCell ref="N43:U43"/>
    <mergeCell ref="Y43:AF43"/>
    <mergeCell ref="AJ43:AQ43"/>
    <mergeCell ref="C45:C46"/>
    <mergeCell ref="N45:N46"/>
    <mergeCell ref="C48:J48"/>
    <mergeCell ref="N48:U48"/>
    <mergeCell ref="Y48:AF48"/>
    <mergeCell ref="AJ48:AQ48"/>
    <mergeCell ref="N50:N51"/>
    <mergeCell ref="Y50:Y51"/>
    <mergeCell ref="AJ50:AJ51"/>
    <mergeCell ref="C50:C51"/>
    <mergeCell ref="C53:J53"/>
    <mergeCell ref="N53:U53"/>
    <mergeCell ref="Y53:AF53"/>
    <mergeCell ref="AJ53:AQ53"/>
    <mergeCell ref="C55:C56"/>
    <mergeCell ref="N55:N56"/>
    <mergeCell ref="Y55:Y56"/>
    <mergeCell ref="Y61:Y62"/>
    <mergeCell ref="AJ55:AJ56"/>
    <mergeCell ref="C59:J59"/>
    <mergeCell ref="N59:U59"/>
    <mergeCell ref="Y59:AF59"/>
    <mergeCell ref="AJ59:AQ59"/>
    <mergeCell ref="N61:N62"/>
    <mergeCell ref="AJ61:AJ62"/>
    <mergeCell ref="Y66:Y67"/>
    <mergeCell ref="AJ66:AJ67"/>
    <mergeCell ref="C61:C62"/>
    <mergeCell ref="C64:J64"/>
    <mergeCell ref="N64:U64"/>
    <mergeCell ref="Y64:AF64"/>
    <mergeCell ref="AJ64:AQ64"/>
    <mergeCell ref="C66:C67"/>
    <mergeCell ref="N66:N67"/>
    <mergeCell ref="C3:J4"/>
    <mergeCell ref="N3:U4"/>
    <mergeCell ref="Y3:AF4"/>
    <mergeCell ref="AJ3:AQ4"/>
    <mergeCell ref="N6:U6"/>
    <mergeCell ref="Y6:AF6"/>
    <mergeCell ref="AJ6:AQ6"/>
    <mergeCell ref="Y11:AF11"/>
    <mergeCell ref="AJ11:AQ11"/>
    <mergeCell ref="N8:N9"/>
    <mergeCell ref="N13:N14"/>
    <mergeCell ref="AJ8:AJ9"/>
    <mergeCell ref="AJ13:AJ14"/>
    <mergeCell ref="AJ18:AJ19"/>
    <mergeCell ref="C16:J16"/>
    <mergeCell ref="N16:U16"/>
    <mergeCell ref="Y16:AF16"/>
    <mergeCell ref="AJ16:AQ16"/>
    <mergeCell ref="C6:J6"/>
    <mergeCell ref="C8:C9"/>
    <mergeCell ref="Y8:Y9"/>
    <mergeCell ref="C11:J11"/>
    <mergeCell ref="N11:U11"/>
    <mergeCell ref="C13:C14"/>
    <mergeCell ref="Y13:Y14"/>
    <mergeCell ref="C70:J70"/>
    <mergeCell ref="N70:U70"/>
    <mergeCell ref="Y70:AF70"/>
    <mergeCell ref="AJ70:AQ70"/>
    <mergeCell ref="C72:C73"/>
    <mergeCell ref="N72:N73"/>
    <mergeCell ref="Y72:Y73"/>
    <mergeCell ref="AJ72:AJ7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29"/>
    <col customWidth="1" min="2" max="2" width="3.86"/>
    <col customWidth="1" min="3" max="3" width="13.57"/>
    <col customWidth="1" min="4" max="4" width="9.0"/>
    <col customWidth="1" min="5" max="5" width="11.14"/>
    <col customWidth="1" min="6" max="7" width="12.14"/>
    <col customWidth="1" min="8" max="8" width="12.57"/>
    <col customWidth="1" min="9" max="9" width="10.57"/>
    <col customWidth="1" min="10" max="10" width="16.86"/>
    <col customWidth="1" min="11" max="11" width="4.43"/>
    <col customWidth="1" min="12" max="12" width="2.29"/>
    <col customWidth="1" min="13" max="13" width="11.14"/>
    <col customWidth="1" min="14" max="14" width="12.14"/>
    <col customWidth="1" min="15" max="15" width="10.71"/>
    <col customWidth="1" min="16" max="17" width="11.14"/>
    <col customWidth="1" min="18" max="19" width="12.14"/>
    <col customWidth="1" min="20" max="21" width="10.71"/>
  </cols>
  <sheetData>
    <row r="1" ht="7.5" customHeight="1">
      <c r="A1" s="12"/>
      <c r="B1" s="12"/>
      <c r="C1" s="16">
        <v>0.03</v>
      </c>
      <c r="D1" s="12"/>
      <c r="E1" s="12"/>
      <c r="F1" s="12"/>
      <c r="G1" s="12"/>
      <c r="H1" s="12"/>
      <c r="I1" s="21"/>
      <c r="J1" s="12"/>
      <c r="K1" s="12"/>
      <c r="L1" s="12"/>
    </row>
    <row r="2" ht="6.75" customHeight="1">
      <c r="A2" s="12"/>
      <c r="B2" s="27"/>
      <c r="C2" s="28"/>
      <c r="D2" s="28"/>
      <c r="E2" s="28"/>
      <c r="F2" s="28"/>
      <c r="G2" s="28"/>
      <c r="H2" s="28"/>
      <c r="I2" s="29"/>
      <c r="J2" s="28"/>
      <c r="K2" s="30"/>
      <c r="L2" s="12"/>
      <c r="M2" s="27"/>
      <c r="N2" s="28"/>
      <c r="O2" s="28"/>
      <c r="P2" s="28"/>
      <c r="Q2" s="28"/>
      <c r="R2" s="28"/>
      <c r="S2" s="28"/>
      <c r="T2" s="30"/>
    </row>
    <row r="3" ht="15.0" customHeight="1">
      <c r="A3" s="12"/>
      <c r="B3" s="31"/>
      <c r="C3" s="32" t="s">
        <v>22</v>
      </c>
      <c r="D3" s="33"/>
      <c r="E3" s="33"/>
      <c r="F3" s="33"/>
      <c r="G3" s="33"/>
      <c r="H3" s="33"/>
      <c r="I3" s="33"/>
      <c r="J3" s="34"/>
      <c r="K3" s="35"/>
      <c r="L3" s="12"/>
      <c r="M3" s="31"/>
      <c r="N3" s="36" t="s">
        <v>23</v>
      </c>
      <c r="O3" s="33"/>
      <c r="P3" s="33"/>
      <c r="Q3" s="33"/>
      <c r="R3" s="33"/>
      <c r="S3" s="34"/>
      <c r="T3" s="35"/>
    </row>
    <row r="4" ht="14.25" customHeight="1">
      <c r="A4" s="12"/>
      <c r="B4" s="31"/>
      <c r="C4" s="37"/>
      <c r="D4" s="38"/>
      <c r="E4" s="38"/>
      <c r="F4" s="38"/>
      <c r="G4" s="38"/>
      <c r="H4" s="38"/>
      <c r="I4" s="38"/>
      <c r="J4" s="39"/>
      <c r="K4" s="35"/>
      <c r="L4" s="12"/>
      <c r="M4" s="31"/>
      <c r="N4" s="37"/>
      <c r="O4" s="38"/>
      <c r="P4" s="38"/>
      <c r="Q4" s="38"/>
      <c r="R4" s="38"/>
      <c r="S4" s="39"/>
      <c r="T4" s="35"/>
    </row>
    <row r="5" ht="14.25" customHeight="1">
      <c r="A5" s="12"/>
      <c r="B5" s="31"/>
      <c r="C5" s="12"/>
      <c r="D5" s="12"/>
      <c r="E5" s="12"/>
      <c r="F5" s="12"/>
      <c r="G5" s="12"/>
      <c r="H5" s="12"/>
      <c r="I5" s="21"/>
      <c r="J5" s="12"/>
      <c r="K5" s="35"/>
      <c r="L5" s="12"/>
      <c r="M5" s="31"/>
      <c r="N5" s="12"/>
      <c r="O5" s="12"/>
      <c r="P5" s="12"/>
      <c r="Q5" s="12"/>
      <c r="R5" s="12"/>
      <c r="S5" s="12"/>
      <c r="T5" s="35"/>
    </row>
    <row r="6" ht="35.25" customHeight="1">
      <c r="A6" s="12"/>
      <c r="B6" s="31"/>
      <c r="C6" s="40" t="s">
        <v>26</v>
      </c>
      <c r="D6" s="4"/>
      <c r="E6" s="4"/>
      <c r="F6" s="4"/>
      <c r="G6" s="4"/>
      <c r="H6" s="4"/>
      <c r="I6" s="4"/>
      <c r="J6" s="5"/>
      <c r="K6" s="35"/>
      <c r="L6" s="12"/>
      <c r="M6" s="31"/>
      <c r="N6" s="40" t="s">
        <v>29</v>
      </c>
      <c r="O6" s="4"/>
      <c r="P6" s="4"/>
      <c r="Q6" s="4"/>
      <c r="R6" s="4"/>
      <c r="S6" s="5"/>
      <c r="T6" s="35"/>
    </row>
    <row r="7" ht="14.25" customHeight="1">
      <c r="A7" s="12"/>
      <c r="B7" s="31"/>
      <c r="C7" s="41" t="s">
        <v>30</v>
      </c>
      <c r="D7" s="42" t="s">
        <v>31</v>
      </c>
      <c r="E7" s="42" t="s">
        <v>32</v>
      </c>
      <c r="F7" s="43" t="s">
        <v>33</v>
      </c>
      <c r="G7" s="43" t="s">
        <v>34</v>
      </c>
      <c r="H7" s="42" t="s">
        <v>35</v>
      </c>
      <c r="I7" s="44" t="s">
        <v>36</v>
      </c>
      <c r="J7" s="45" t="s">
        <v>37</v>
      </c>
      <c r="K7" s="35"/>
      <c r="L7" s="12"/>
      <c r="M7" s="31"/>
      <c r="N7" s="46" t="s">
        <v>30</v>
      </c>
      <c r="O7" s="42" t="s">
        <v>31</v>
      </c>
      <c r="P7" s="42" t="s">
        <v>32</v>
      </c>
      <c r="Q7" s="43" t="s">
        <v>33</v>
      </c>
      <c r="R7" s="42" t="s">
        <v>38</v>
      </c>
      <c r="S7" s="42" t="s">
        <v>35</v>
      </c>
      <c r="T7" s="35"/>
    </row>
    <row r="8" ht="14.25" customHeight="1">
      <c r="A8" s="12"/>
      <c r="B8" s="31"/>
      <c r="C8" s="47">
        <v>9555000.0</v>
      </c>
      <c r="D8" s="48">
        <v>1.0</v>
      </c>
      <c r="E8" s="49">
        <v>0.2988</v>
      </c>
      <c r="F8" s="51">
        <f>H8</f>
        <v>6699966</v>
      </c>
      <c r="G8" s="51">
        <v>0.0</v>
      </c>
      <c r="H8" s="51">
        <f>C8-(C8*E8)</f>
        <v>6699966</v>
      </c>
      <c r="I8" s="53">
        <f>H8/J8</f>
        <v>9516.997159</v>
      </c>
      <c r="J8" s="48">
        <v>704.0</v>
      </c>
      <c r="K8" s="35"/>
      <c r="L8" s="12"/>
      <c r="M8" s="31"/>
      <c r="N8" s="55">
        <v>2000000.0</v>
      </c>
      <c r="O8" s="48">
        <v>1.0</v>
      </c>
      <c r="P8" s="57">
        <v>0.25</v>
      </c>
      <c r="Q8" s="51">
        <v>0.0</v>
      </c>
      <c r="R8" s="51">
        <f>S8/O8</f>
        <v>1500000</v>
      </c>
      <c r="S8" s="51">
        <f>N8-(N8*P8)</f>
        <v>1500000</v>
      </c>
      <c r="T8" s="35"/>
    </row>
    <row r="9" ht="14.25" customHeight="1">
      <c r="A9" s="12"/>
      <c r="B9" s="31"/>
      <c r="C9" s="58"/>
      <c r="D9" s="48">
        <v>22.0</v>
      </c>
      <c r="E9" s="49">
        <v>0.0581</v>
      </c>
      <c r="F9" s="59">
        <v>200000.0</v>
      </c>
      <c r="G9" s="51">
        <f>(H9-F9)/(D9-1)</f>
        <v>419040.6905</v>
      </c>
      <c r="H9" s="51">
        <f>C8-(C8*E9)</f>
        <v>8999854.5</v>
      </c>
      <c r="I9" s="53">
        <f>H9/J8</f>
        <v>12783.88423</v>
      </c>
      <c r="J9" s="60">
        <f>J8/D9</f>
        <v>32</v>
      </c>
      <c r="K9" s="35"/>
      <c r="L9" s="12"/>
      <c r="M9" s="31"/>
      <c r="N9" s="58"/>
      <c r="O9" s="48">
        <v>6.0</v>
      </c>
      <c r="P9" s="49">
        <v>0.0</v>
      </c>
      <c r="Q9" s="51">
        <v>150000.0</v>
      </c>
      <c r="R9" s="51">
        <f>(S9-Q9)/(O9-1)</f>
        <v>370000</v>
      </c>
      <c r="S9" s="51">
        <f>N8-(N8*P9)</f>
        <v>2000000</v>
      </c>
      <c r="T9" s="61"/>
      <c r="U9" s="10"/>
    </row>
    <row r="10" ht="14.25" customHeight="1">
      <c r="A10" s="12"/>
      <c r="B10" s="31"/>
      <c r="C10" s="12"/>
      <c r="D10" s="12"/>
      <c r="E10" s="12"/>
      <c r="F10" s="12"/>
      <c r="G10" s="12"/>
      <c r="H10" s="12"/>
      <c r="I10" s="21"/>
      <c r="J10" s="12"/>
      <c r="K10" s="35"/>
      <c r="L10" s="12"/>
      <c r="M10" s="31"/>
      <c r="N10" s="12"/>
      <c r="O10" s="12"/>
      <c r="P10" s="12"/>
      <c r="Q10" s="12"/>
      <c r="R10" s="62"/>
      <c r="S10" s="12"/>
      <c r="T10" s="35"/>
    </row>
    <row r="11" ht="33.0" customHeight="1">
      <c r="A11" s="12"/>
      <c r="B11" s="31"/>
      <c r="C11" s="40" t="s">
        <v>44</v>
      </c>
      <c r="D11" s="4"/>
      <c r="E11" s="4"/>
      <c r="F11" s="4"/>
      <c r="G11" s="4"/>
      <c r="H11" s="4"/>
      <c r="I11" s="4"/>
      <c r="J11" s="5"/>
      <c r="K11" s="35"/>
      <c r="L11" s="12"/>
      <c r="M11" s="31"/>
      <c r="N11" s="40" t="s">
        <v>45</v>
      </c>
      <c r="O11" s="4"/>
      <c r="P11" s="4"/>
      <c r="Q11" s="4"/>
      <c r="R11" s="4"/>
      <c r="S11" s="5"/>
      <c r="T11" s="35"/>
    </row>
    <row r="12" ht="14.25" customHeight="1">
      <c r="A12" s="12"/>
      <c r="B12" s="31"/>
      <c r="C12" s="41" t="s">
        <v>30</v>
      </c>
      <c r="D12" s="42" t="s">
        <v>31</v>
      </c>
      <c r="E12" s="42" t="s">
        <v>32</v>
      </c>
      <c r="F12" s="43" t="s">
        <v>33</v>
      </c>
      <c r="G12" s="43" t="s">
        <v>34</v>
      </c>
      <c r="H12" s="42" t="s">
        <v>35</v>
      </c>
      <c r="I12" s="44" t="s">
        <v>36</v>
      </c>
      <c r="J12" s="45" t="s">
        <v>37</v>
      </c>
      <c r="K12" s="35"/>
      <c r="L12" s="12"/>
      <c r="M12" s="31"/>
      <c r="N12" s="46" t="s">
        <v>30</v>
      </c>
      <c r="O12" s="42" t="s">
        <v>31</v>
      </c>
      <c r="P12" s="42" t="s">
        <v>32</v>
      </c>
      <c r="Q12" s="43" t="s">
        <v>33</v>
      </c>
      <c r="R12" s="42" t="s">
        <v>38</v>
      </c>
      <c r="S12" s="42" t="s">
        <v>35</v>
      </c>
      <c r="T12" s="35"/>
    </row>
    <row r="13" ht="14.25" customHeight="1">
      <c r="A13" s="12"/>
      <c r="B13" s="31"/>
      <c r="C13" s="47">
        <v>1.0105E7</v>
      </c>
      <c r="D13" s="48">
        <v>1.0</v>
      </c>
      <c r="E13" s="49">
        <v>0.337</v>
      </c>
      <c r="F13" s="51">
        <f>H13</f>
        <v>6699615</v>
      </c>
      <c r="G13" s="51">
        <v>0.0</v>
      </c>
      <c r="H13" s="51">
        <f>C13-(C13*E13)</f>
        <v>6699615</v>
      </c>
      <c r="I13" s="53">
        <f>H13/J13</f>
        <v>9004.858871</v>
      </c>
      <c r="J13" s="48">
        <v>744.0</v>
      </c>
      <c r="K13" s="35"/>
      <c r="L13" s="12"/>
      <c r="M13" s="31"/>
      <c r="N13" s="55">
        <v>3000000.0</v>
      </c>
      <c r="O13" s="48">
        <v>1.0</v>
      </c>
      <c r="P13" s="49">
        <v>0.3334</v>
      </c>
      <c r="Q13" s="51">
        <v>0.0</v>
      </c>
      <c r="R13" s="51">
        <f>S13/O13</f>
        <v>1999800</v>
      </c>
      <c r="S13" s="51">
        <f>N13-(N13*P13)</f>
        <v>1999800</v>
      </c>
      <c r="T13" s="35"/>
    </row>
    <row r="14" ht="14.25" customHeight="1">
      <c r="A14" s="12"/>
      <c r="B14" s="31"/>
      <c r="C14" s="58"/>
      <c r="D14" s="48">
        <v>22.0</v>
      </c>
      <c r="E14" s="49">
        <v>0.1094</v>
      </c>
      <c r="F14" s="59">
        <v>200000.0</v>
      </c>
      <c r="G14" s="51">
        <f>(H14-F14)/(D14-1)</f>
        <v>419024.4286</v>
      </c>
      <c r="H14" s="51">
        <f>C13-(C13*E14)</f>
        <v>8999513</v>
      </c>
      <c r="I14" s="53">
        <f>H14/J13</f>
        <v>12096.11962</v>
      </c>
      <c r="J14" s="60">
        <f>J13/D14</f>
        <v>33.81818182</v>
      </c>
      <c r="K14" s="35"/>
      <c r="L14" s="12"/>
      <c r="M14" s="31"/>
      <c r="N14" s="58"/>
      <c r="O14" s="48">
        <v>9.0</v>
      </c>
      <c r="P14" s="49">
        <v>0.0</v>
      </c>
      <c r="Q14" s="51">
        <v>150000.0</v>
      </c>
      <c r="R14" s="51">
        <f>(S14-Q14)/(O14-1)</f>
        <v>356250</v>
      </c>
      <c r="S14" s="51">
        <f>N13-(N13*P14)</f>
        <v>3000000</v>
      </c>
      <c r="T14" s="35"/>
    </row>
    <row r="15" ht="14.25" customHeight="1">
      <c r="A15" s="12"/>
      <c r="B15" s="31"/>
      <c r="C15" s="12"/>
      <c r="D15" s="12"/>
      <c r="E15" s="12"/>
      <c r="F15" s="12"/>
      <c r="G15" s="12"/>
      <c r="H15" s="12"/>
      <c r="I15" s="21"/>
      <c r="J15" s="12"/>
      <c r="K15" s="35"/>
      <c r="L15" s="12"/>
      <c r="M15" s="31"/>
      <c r="N15" s="12"/>
      <c r="O15" s="12"/>
      <c r="P15" s="12"/>
      <c r="Q15" s="12"/>
      <c r="R15" s="12"/>
      <c r="S15" s="12"/>
      <c r="T15" s="35"/>
    </row>
    <row r="16" ht="33.0" customHeight="1">
      <c r="A16" s="12"/>
      <c r="B16" s="31"/>
      <c r="C16" s="40" t="s">
        <v>46</v>
      </c>
      <c r="D16" s="4"/>
      <c r="E16" s="4"/>
      <c r="F16" s="4"/>
      <c r="G16" s="4"/>
      <c r="H16" s="4"/>
      <c r="I16" s="4"/>
      <c r="J16" s="5"/>
      <c r="K16" s="35"/>
      <c r="L16" s="12"/>
      <c r="M16" s="31"/>
      <c r="N16" s="40" t="s">
        <v>47</v>
      </c>
      <c r="O16" s="4"/>
      <c r="P16" s="4"/>
      <c r="Q16" s="4"/>
      <c r="R16" s="4"/>
      <c r="S16" s="5"/>
      <c r="T16" s="35"/>
    </row>
    <row r="17" ht="14.25" customHeight="1">
      <c r="A17" s="12"/>
      <c r="B17" s="31"/>
      <c r="C17" s="70" t="s">
        <v>30</v>
      </c>
      <c r="D17" s="42" t="s">
        <v>31</v>
      </c>
      <c r="E17" s="42" t="s">
        <v>32</v>
      </c>
      <c r="F17" s="43" t="s">
        <v>33</v>
      </c>
      <c r="G17" s="43" t="s">
        <v>34</v>
      </c>
      <c r="H17" s="42" t="s">
        <v>35</v>
      </c>
      <c r="I17" s="44" t="s">
        <v>36</v>
      </c>
      <c r="J17" s="45" t="s">
        <v>37</v>
      </c>
      <c r="K17" s="35"/>
      <c r="L17" s="12"/>
      <c r="M17" s="31"/>
      <c r="N17" s="46" t="s">
        <v>30</v>
      </c>
      <c r="O17" s="42" t="s">
        <v>31</v>
      </c>
      <c r="P17" s="42" t="s">
        <v>32</v>
      </c>
      <c r="Q17" s="43" t="s">
        <v>33</v>
      </c>
      <c r="R17" s="42" t="s">
        <v>38</v>
      </c>
      <c r="S17" s="42" t="s">
        <v>35</v>
      </c>
      <c r="T17" s="35"/>
    </row>
    <row r="18" ht="14.25" customHeight="1">
      <c r="A18" s="12"/>
      <c r="B18" s="31"/>
      <c r="C18" s="71">
        <v>1.2301E7</v>
      </c>
      <c r="D18" s="25">
        <v>1.0</v>
      </c>
      <c r="E18" s="49">
        <v>0.431</v>
      </c>
      <c r="F18" s="51">
        <f>H18</f>
        <v>6999269</v>
      </c>
      <c r="G18" s="51">
        <v>0.0</v>
      </c>
      <c r="H18" s="51">
        <f>C18-(C18*E18)</f>
        <v>6999269</v>
      </c>
      <c r="I18" s="72">
        <f>H18/J18</f>
        <v>7725.462472</v>
      </c>
      <c r="J18" s="25">
        <v>906.0</v>
      </c>
      <c r="K18" s="35"/>
      <c r="L18" s="12"/>
      <c r="M18" s="31"/>
      <c r="N18" s="55">
        <v>4000000.0</v>
      </c>
      <c r="O18" s="48">
        <v>1.0</v>
      </c>
      <c r="P18" s="57">
        <v>0.25</v>
      </c>
      <c r="Q18" s="51">
        <v>0.0</v>
      </c>
      <c r="R18" s="51">
        <f>S18/O18</f>
        <v>3000000</v>
      </c>
      <c r="S18" s="51">
        <f>N18-(N18*P18)</f>
        <v>3000000</v>
      </c>
      <c r="T18" s="35"/>
    </row>
    <row r="19" ht="14.25" customHeight="1">
      <c r="A19" s="12"/>
      <c r="B19" s="31"/>
      <c r="C19" s="58"/>
      <c r="D19" s="25">
        <v>24.0</v>
      </c>
      <c r="E19" s="49">
        <v>0.244</v>
      </c>
      <c r="F19" s="59">
        <v>200000.0</v>
      </c>
      <c r="G19" s="51">
        <f>(H19-F19)/(D19-1)</f>
        <v>395632.8696</v>
      </c>
      <c r="H19" s="51">
        <f>C18-(C18*E19)</f>
        <v>9299556</v>
      </c>
      <c r="I19" s="72">
        <f>H19/J18</f>
        <v>10264.4106</v>
      </c>
      <c r="J19" s="73">
        <f>J18/D19</f>
        <v>37.75</v>
      </c>
      <c r="K19" s="35"/>
      <c r="L19" s="12"/>
      <c r="M19" s="31"/>
      <c r="N19" s="58"/>
      <c r="O19" s="48">
        <v>12.0</v>
      </c>
      <c r="P19" s="49">
        <v>0.0</v>
      </c>
      <c r="Q19" s="51">
        <v>150000.0</v>
      </c>
      <c r="R19" s="51">
        <f>(S19-Q19)/(O19-1)</f>
        <v>350000</v>
      </c>
      <c r="S19" s="51">
        <f>N18-(N18*P19)</f>
        <v>4000000</v>
      </c>
      <c r="T19" s="35"/>
    </row>
    <row r="20" ht="14.25" customHeight="1">
      <c r="A20" s="12"/>
      <c r="B20" s="75"/>
      <c r="C20" s="76"/>
      <c r="D20" s="76"/>
      <c r="E20" s="76"/>
      <c r="F20" s="76"/>
      <c r="G20" s="76"/>
      <c r="H20" s="77"/>
      <c r="I20" s="78"/>
      <c r="J20" s="76"/>
      <c r="K20" s="79"/>
      <c r="L20" s="12"/>
      <c r="M20" s="75"/>
      <c r="N20" s="76"/>
      <c r="O20" s="76"/>
      <c r="P20" s="76"/>
      <c r="Q20" s="76"/>
      <c r="R20" s="77"/>
      <c r="S20" s="76"/>
      <c r="T20" s="79"/>
    </row>
    <row r="21" ht="14.25" customHeight="1">
      <c r="A21" s="12"/>
      <c r="B21" s="12"/>
      <c r="C21" s="12"/>
      <c r="D21" s="12"/>
      <c r="E21" s="12"/>
      <c r="F21" s="12"/>
      <c r="G21" s="12"/>
      <c r="H21" s="62"/>
      <c r="I21" s="21"/>
      <c r="J21" s="12"/>
      <c r="K21" s="12"/>
      <c r="L21" s="12"/>
    </row>
    <row r="22" ht="33.0" customHeight="1">
      <c r="A22" s="12"/>
      <c r="D22" s="10"/>
      <c r="E22" s="10"/>
      <c r="F22" s="10"/>
      <c r="G22" s="10"/>
      <c r="H22" s="80"/>
      <c r="I22" s="81"/>
      <c r="L22" s="12"/>
    </row>
    <row r="23" ht="14.25" customHeight="1">
      <c r="A23" s="12"/>
      <c r="G23" s="82"/>
      <c r="H23" s="83"/>
      <c r="I23" s="81"/>
      <c r="L23" s="12"/>
    </row>
    <row r="24" ht="14.25" customHeight="1">
      <c r="A24" s="12"/>
      <c r="I24" s="81"/>
      <c r="L24" s="12"/>
      <c r="M24" s="10"/>
    </row>
    <row r="25" ht="14.25" customHeight="1">
      <c r="A25" s="12"/>
      <c r="I25" s="6"/>
      <c r="L25" s="12"/>
      <c r="M25" s="10"/>
      <c r="N25" s="10"/>
    </row>
    <row r="26" ht="14.25" customHeight="1">
      <c r="A26" s="12"/>
      <c r="I26" s="6"/>
      <c r="L26" s="12"/>
    </row>
    <row r="27" ht="33.0" customHeight="1">
      <c r="A27" s="12"/>
      <c r="I27" s="6"/>
      <c r="L27" s="12"/>
    </row>
    <row r="28" ht="14.25" customHeight="1">
      <c r="A28" s="12"/>
      <c r="I28" s="6"/>
      <c r="L28" s="12"/>
    </row>
    <row r="29" ht="14.25" customHeight="1">
      <c r="A29" s="12"/>
      <c r="I29" s="6"/>
      <c r="L29" s="12"/>
    </row>
    <row r="30" ht="14.25" customHeight="1">
      <c r="A30" s="12"/>
      <c r="I30" s="6"/>
      <c r="L30" s="12"/>
    </row>
    <row r="31" ht="14.25" customHeight="1">
      <c r="A31" s="12"/>
      <c r="I31" s="6"/>
      <c r="L31" s="12"/>
    </row>
    <row r="32" ht="14.25" customHeight="1">
      <c r="A32" s="12"/>
      <c r="I32" s="6"/>
      <c r="L32" s="12"/>
    </row>
    <row r="33" ht="34.5" customHeight="1">
      <c r="A33" s="12"/>
      <c r="H33" s="84">
        <f>150000*6%</f>
        <v>9000</v>
      </c>
      <c r="I33" s="6"/>
      <c r="L33" s="12"/>
    </row>
    <row r="34" ht="14.25" customHeight="1">
      <c r="A34" s="12"/>
      <c r="I34" s="6"/>
      <c r="L34" s="12"/>
    </row>
    <row r="35" ht="14.25" customHeight="1">
      <c r="A35" s="12"/>
      <c r="I35" s="6"/>
      <c r="L35" s="12"/>
      <c r="M35" s="10"/>
    </row>
    <row r="36" ht="14.25" customHeight="1">
      <c r="A36" s="12"/>
      <c r="I36" s="6"/>
      <c r="L36" s="12"/>
      <c r="M36" s="10"/>
    </row>
    <row r="37" ht="14.25" customHeight="1">
      <c r="A37" s="12"/>
      <c r="I37" s="6"/>
      <c r="L37" s="12"/>
    </row>
    <row r="38" ht="14.25" customHeight="1">
      <c r="A38" s="12"/>
      <c r="I38" s="6"/>
      <c r="L38" s="12"/>
    </row>
    <row r="39" ht="14.25" customHeight="1">
      <c r="I39" s="6"/>
    </row>
    <row r="40" ht="14.25" customHeight="1">
      <c r="I40" s="6"/>
    </row>
    <row r="41" ht="14.25" customHeight="1">
      <c r="I41" s="6"/>
    </row>
    <row r="42" ht="14.25" customHeight="1">
      <c r="I42" s="6"/>
    </row>
    <row r="43" ht="14.25" customHeight="1">
      <c r="I43" s="6"/>
    </row>
    <row r="44" ht="14.25" customHeight="1">
      <c r="I44" s="6"/>
    </row>
    <row r="45" ht="14.25" customHeight="1">
      <c r="I45" s="6"/>
    </row>
    <row r="46" ht="14.25" customHeight="1">
      <c r="I46" s="6"/>
    </row>
    <row r="47" ht="14.25" customHeight="1">
      <c r="I47" s="6"/>
    </row>
    <row r="48" ht="14.25" customHeight="1">
      <c r="I48" s="6"/>
    </row>
    <row r="49" ht="14.25" customHeight="1">
      <c r="I49" s="6"/>
    </row>
    <row r="50" ht="14.25" customHeight="1">
      <c r="I50" s="6"/>
    </row>
    <row r="51" ht="14.25" customHeight="1">
      <c r="I51" s="6"/>
    </row>
    <row r="52" ht="14.25" customHeight="1">
      <c r="I52" s="6"/>
    </row>
    <row r="53" ht="14.25" customHeight="1">
      <c r="I53" s="6"/>
    </row>
    <row r="54" ht="14.25" customHeight="1">
      <c r="I54" s="6"/>
    </row>
    <row r="55" ht="14.25" customHeight="1">
      <c r="I55" s="6"/>
    </row>
    <row r="56" ht="14.25" customHeight="1">
      <c r="I56" s="6"/>
    </row>
    <row r="57" ht="14.25" customHeight="1">
      <c r="I57" s="6"/>
    </row>
    <row r="58" ht="14.25" customHeight="1">
      <c r="I58" s="6"/>
    </row>
    <row r="59" ht="14.25" customHeight="1">
      <c r="I59" s="6"/>
    </row>
    <row r="60" ht="14.25" customHeight="1">
      <c r="I60" s="6"/>
    </row>
    <row r="61" ht="14.25" customHeight="1">
      <c r="I61" s="6"/>
    </row>
    <row r="62" ht="14.25" customHeight="1">
      <c r="I62" s="6"/>
    </row>
    <row r="63" ht="14.25" customHeight="1">
      <c r="I63" s="6"/>
    </row>
    <row r="64" ht="14.25" customHeight="1">
      <c r="I64" s="6"/>
    </row>
    <row r="65" ht="14.25" customHeight="1">
      <c r="I65" s="6"/>
    </row>
    <row r="66" ht="14.25" customHeight="1">
      <c r="I66" s="6"/>
    </row>
    <row r="67" ht="14.25" customHeight="1">
      <c r="I67" s="6"/>
    </row>
    <row r="68" ht="14.25" customHeight="1">
      <c r="I68" s="6"/>
    </row>
    <row r="69" ht="14.25" customHeight="1">
      <c r="I69" s="6"/>
    </row>
    <row r="70" ht="14.25" customHeight="1">
      <c r="I70" s="6"/>
    </row>
    <row r="71" ht="14.25" customHeight="1">
      <c r="I71" s="6"/>
    </row>
    <row r="72" ht="14.25" customHeight="1">
      <c r="I72" s="6"/>
    </row>
    <row r="73" ht="14.25" customHeight="1">
      <c r="I73" s="6"/>
    </row>
    <row r="74" ht="14.25" customHeight="1">
      <c r="I74" s="6"/>
    </row>
    <row r="75" ht="14.25" customHeight="1">
      <c r="I75" s="6"/>
    </row>
    <row r="76" ht="14.25" customHeight="1">
      <c r="I76" s="6"/>
    </row>
    <row r="77" ht="14.25" customHeight="1">
      <c r="I77" s="6"/>
    </row>
    <row r="78" ht="14.25" customHeight="1">
      <c r="I78" s="6"/>
    </row>
    <row r="79" ht="14.25" customHeight="1">
      <c r="I79" s="6"/>
    </row>
    <row r="80" ht="14.25" customHeight="1">
      <c r="I80" s="6"/>
    </row>
    <row r="81" ht="14.25" customHeight="1">
      <c r="I81" s="6"/>
    </row>
    <row r="82" ht="14.25" customHeight="1">
      <c r="I82" s="6"/>
    </row>
    <row r="83" ht="14.25" customHeight="1">
      <c r="I83" s="6"/>
    </row>
    <row r="84" ht="14.25" customHeight="1">
      <c r="I84" s="6"/>
    </row>
    <row r="85" ht="14.25" customHeight="1">
      <c r="I85" s="6"/>
    </row>
    <row r="86" ht="14.25" customHeight="1">
      <c r="I86" s="6"/>
    </row>
    <row r="87" ht="14.25" customHeight="1">
      <c r="I87" s="6"/>
    </row>
    <row r="88" ht="14.25" customHeight="1">
      <c r="I88" s="6"/>
    </row>
    <row r="89" ht="14.25" customHeight="1">
      <c r="I89" s="6"/>
    </row>
    <row r="90" ht="14.25" customHeight="1">
      <c r="I90" s="6"/>
    </row>
    <row r="91" ht="14.25" customHeight="1">
      <c r="I91" s="6"/>
    </row>
    <row r="92" ht="14.25" customHeight="1">
      <c r="I92" s="6"/>
    </row>
    <row r="93" ht="14.25" customHeight="1">
      <c r="I93" s="6"/>
    </row>
    <row r="94" ht="14.25" customHeight="1">
      <c r="I94" s="6"/>
    </row>
    <row r="95" ht="14.25" customHeight="1">
      <c r="I95" s="6"/>
    </row>
    <row r="96" ht="14.25" customHeight="1">
      <c r="I96" s="6"/>
    </row>
    <row r="97" ht="14.25" customHeight="1">
      <c r="I97" s="6"/>
    </row>
    <row r="98" ht="14.25" customHeight="1">
      <c r="I98" s="6"/>
    </row>
    <row r="99" ht="14.25" customHeight="1">
      <c r="I99" s="6"/>
    </row>
    <row r="100" ht="14.25" customHeight="1">
      <c r="I100" s="6"/>
    </row>
    <row r="101" ht="14.25" customHeight="1">
      <c r="I101" s="6"/>
    </row>
    <row r="102" ht="14.25" customHeight="1">
      <c r="I102" s="6"/>
    </row>
    <row r="103" ht="14.25" customHeight="1">
      <c r="I103" s="6"/>
    </row>
    <row r="104" ht="14.25" customHeight="1">
      <c r="I104" s="6"/>
    </row>
    <row r="105" ht="14.25" customHeight="1">
      <c r="I105" s="6"/>
    </row>
    <row r="106" ht="14.25" customHeight="1">
      <c r="I106" s="6"/>
    </row>
    <row r="107" ht="14.25" customHeight="1">
      <c r="I107" s="6"/>
    </row>
    <row r="108" ht="14.25" customHeight="1">
      <c r="I108" s="6"/>
    </row>
    <row r="109" ht="14.25" customHeight="1">
      <c r="I109" s="6"/>
    </row>
    <row r="110" ht="14.25" customHeight="1">
      <c r="I110" s="6"/>
    </row>
    <row r="111" ht="14.25" customHeight="1">
      <c r="I111" s="6"/>
    </row>
    <row r="112" ht="14.25" customHeight="1">
      <c r="I112" s="6"/>
    </row>
    <row r="113" ht="14.25" customHeight="1">
      <c r="I113" s="6"/>
    </row>
    <row r="114" ht="14.25" customHeight="1">
      <c r="I114" s="6"/>
    </row>
    <row r="115" ht="14.25" customHeight="1">
      <c r="I115" s="6"/>
    </row>
    <row r="116" ht="14.25" customHeight="1">
      <c r="I116" s="6"/>
    </row>
    <row r="117" ht="14.25" customHeight="1">
      <c r="I117" s="6"/>
    </row>
    <row r="118" ht="14.25" customHeight="1">
      <c r="I118" s="6"/>
    </row>
    <row r="119" ht="14.25" customHeight="1">
      <c r="I119" s="6"/>
    </row>
    <row r="120" ht="14.25" customHeight="1">
      <c r="I120" s="6"/>
    </row>
    <row r="121" ht="14.25" customHeight="1">
      <c r="I121" s="6"/>
    </row>
    <row r="122" ht="14.25" customHeight="1">
      <c r="I122" s="6"/>
    </row>
    <row r="123" ht="14.25" customHeight="1">
      <c r="I123" s="6"/>
    </row>
    <row r="124" ht="14.25" customHeight="1">
      <c r="I124" s="6"/>
    </row>
    <row r="125" ht="14.25" customHeight="1">
      <c r="I125" s="6"/>
    </row>
    <row r="126" ht="14.25" customHeight="1">
      <c r="I126" s="6"/>
    </row>
    <row r="127" ht="14.25" customHeight="1">
      <c r="I127" s="6"/>
    </row>
    <row r="128" ht="14.25" customHeight="1">
      <c r="I128" s="6"/>
    </row>
    <row r="129" ht="14.25" customHeight="1">
      <c r="I129" s="6"/>
    </row>
    <row r="130" ht="14.25" customHeight="1">
      <c r="I130" s="6"/>
    </row>
    <row r="131" ht="14.25" customHeight="1">
      <c r="I131" s="6"/>
    </row>
    <row r="132" ht="14.25" customHeight="1">
      <c r="I132" s="6"/>
    </row>
    <row r="133" ht="14.25" customHeight="1">
      <c r="I133" s="6"/>
    </row>
    <row r="134" ht="14.25" customHeight="1">
      <c r="I134" s="6"/>
    </row>
    <row r="135" ht="14.25" customHeight="1">
      <c r="I135" s="6"/>
    </row>
    <row r="136" ht="14.25" customHeight="1">
      <c r="I136" s="6"/>
    </row>
    <row r="137" ht="14.25" customHeight="1">
      <c r="I137" s="6"/>
    </row>
    <row r="138" ht="14.25" customHeight="1">
      <c r="I138" s="6"/>
    </row>
    <row r="139" ht="14.25" customHeight="1">
      <c r="I139" s="6"/>
    </row>
    <row r="140" ht="14.25" customHeight="1">
      <c r="I140" s="6"/>
    </row>
    <row r="141" ht="14.25" customHeight="1">
      <c r="I141" s="6"/>
    </row>
    <row r="142" ht="14.25" customHeight="1">
      <c r="I142" s="6"/>
    </row>
    <row r="143" ht="14.25" customHeight="1">
      <c r="I143" s="6"/>
    </row>
    <row r="144" ht="14.25" customHeight="1">
      <c r="I144" s="6"/>
    </row>
    <row r="145" ht="14.25" customHeight="1">
      <c r="I145" s="6"/>
    </row>
    <row r="146" ht="14.25" customHeight="1">
      <c r="I146" s="6"/>
    </row>
    <row r="147" ht="14.25" customHeight="1">
      <c r="I147" s="6"/>
    </row>
    <row r="148" ht="14.25" customHeight="1">
      <c r="I148" s="6"/>
    </row>
    <row r="149" ht="14.25" customHeight="1">
      <c r="I149" s="6"/>
    </row>
    <row r="150" ht="14.25" customHeight="1">
      <c r="I150" s="6"/>
    </row>
    <row r="151" ht="14.25" customHeight="1">
      <c r="I151" s="6"/>
    </row>
    <row r="152" ht="14.25" customHeight="1">
      <c r="I152" s="6"/>
    </row>
    <row r="153" ht="14.25" customHeight="1">
      <c r="I153" s="6"/>
    </row>
    <row r="154" ht="14.25" customHeight="1">
      <c r="I154" s="6"/>
    </row>
    <row r="155" ht="14.25" customHeight="1">
      <c r="I155" s="6"/>
    </row>
    <row r="156" ht="14.25" customHeight="1">
      <c r="I156" s="6"/>
    </row>
    <row r="157" ht="14.25" customHeight="1">
      <c r="I157" s="6"/>
    </row>
    <row r="158" ht="14.25" customHeight="1">
      <c r="I158" s="6"/>
    </row>
    <row r="159" ht="14.25" customHeight="1">
      <c r="I159" s="6"/>
    </row>
    <row r="160" ht="14.25" customHeight="1">
      <c r="I160" s="6"/>
    </row>
    <row r="161" ht="14.25" customHeight="1">
      <c r="I161" s="6"/>
    </row>
    <row r="162" ht="14.25" customHeight="1">
      <c r="I162" s="6"/>
    </row>
    <row r="163" ht="14.25" customHeight="1">
      <c r="I163" s="6"/>
    </row>
    <row r="164" ht="14.25" customHeight="1">
      <c r="I164" s="6"/>
    </row>
    <row r="165" ht="14.25" customHeight="1">
      <c r="I165" s="6"/>
    </row>
    <row r="166" ht="14.25" customHeight="1">
      <c r="I166" s="6"/>
    </row>
    <row r="167" ht="14.25" customHeight="1">
      <c r="I167" s="6"/>
    </row>
    <row r="168" ht="14.25" customHeight="1">
      <c r="I168" s="6"/>
    </row>
    <row r="169" ht="14.25" customHeight="1">
      <c r="I169" s="6"/>
    </row>
    <row r="170" ht="14.25" customHeight="1">
      <c r="I170" s="6"/>
    </row>
    <row r="171" ht="14.25" customHeight="1">
      <c r="I171" s="6"/>
    </row>
    <row r="172" ht="14.25" customHeight="1">
      <c r="I172" s="6"/>
    </row>
    <row r="173" ht="14.25" customHeight="1">
      <c r="I173" s="6"/>
    </row>
    <row r="174" ht="14.25" customHeight="1">
      <c r="I174" s="6"/>
    </row>
    <row r="175" ht="14.25" customHeight="1">
      <c r="I175" s="6"/>
    </row>
    <row r="176" ht="14.25" customHeight="1">
      <c r="I176" s="6"/>
    </row>
    <row r="177" ht="14.25" customHeight="1">
      <c r="I177" s="6"/>
    </row>
    <row r="178" ht="14.25" customHeight="1">
      <c r="I178" s="6"/>
    </row>
    <row r="179" ht="14.25" customHeight="1">
      <c r="I179" s="6"/>
    </row>
    <row r="180" ht="14.25" customHeight="1">
      <c r="I180" s="6"/>
    </row>
    <row r="181" ht="14.25" customHeight="1">
      <c r="I181" s="6"/>
    </row>
    <row r="182" ht="14.25" customHeight="1">
      <c r="I182" s="6"/>
    </row>
    <row r="183" ht="14.25" customHeight="1">
      <c r="I183" s="6"/>
    </row>
    <row r="184" ht="14.25" customHeight="1">
      <c r="I184" s="6"/>
    </row>
    <row r="185" ht="14.25" customHeight="1">
      <c r="I185" s="6"/>
    </row>
    <row r="186" ht="14.25" customHeight="1">
      <c r="I186" s="6"/>
    </row>
    <row r="187" ht="14.25" customHeight="1">
      <c r="I187" s="6"/>
    </row>
    <row r="188" ht="14.25" customHeight="1">
      <c r="I188" s="6"/>
    </row>
    <row r="189" ht="14.25" customHeight="1">
      <c r="I189" s="6"/>
    </row>
    <row r="190" ht="14.25" customHeight="1">
      <c r="I190" s="6"/>
    </row>
    <row r="191" ht="14.25" customHeight="1">
      <c r="I191" s="6"/>
    </row>
    <row r="192" ht="14.25" customHeight="1">
      <c r="I192" s="6"/>
    </row>
    <row r="193" ht="14.25" customHeight="1">
      <c r="I193" s="6"/>
    </row>
    <row r="194" ht="14.25" customHeight="1">
      <c r="I194" s="6"/>
    </row>
    <row r="195" ht="14.25" customHeight="1">
      <c r="I195" s="6"/>
    </row>
    <row r="196" ht="14.25" customHeight="1">
      <c r="I196" s="6"/>
    </row>
    <row r="197" ht="14.25" customHeight="1">
      <c r="I197" s="6"/>
    </row>
    <row r="198" ht="14.25" customHeight="1">
      <c r="I198" s="6"/>
    </row>
    <row r="199" ht="14.25" customHeight="1">
      <c r="I199" s="6"/>
    </row>
    <row r="200" ht="14.25" customHeight="1">
      <c r="I200" s="6"/>
    </row>
    <row r="201" ht="14.25" customHeight="1">
      <c r="I201" s="6"/>
    </row>
    <row r="202" ht="14.25" customHeight="1">
      <c r="I202" s="6"/>
    </row>
    <row r="203" ht="14.25" customHeight="1">
      <c r="I203" s="6"/>
    </row>
    <row r="204" ht="14.25" customHeight="1">
      <c r="I204" s="6"/>
    </row>
    <row r="205" ht="14.25" customHeight="1">
      <c r="I205" s="6"/>
    </row>
    <row r="206" ht="14.25" customHeight="1">
      <c r="I206" s="6"/>
    </row>
    <row r="207" ht="14.25" customHeight="1">
      <c r="I207" s="6"/>
    </row>
    <row r="208" ht="14.25" customHeight="1">
      <c r="I208" s="6"/>
    </row>
    <row r="209" ht="14.25" customHeight="1">
      <c r="I209" s="6"/>
    </row>
    <row r="210" ht="14.25" customHeight="1">
      <c r="I210" s="6"/>
    </row>
    <row r="211" ht="14.25" customHeight="1">
      <c r="I211" s="6"/>
    </row>
    <row r="212" ht="14.25" customHeight="1">
      <c r="I212" s="6"/>
    </row>
    <row r="213" ht="14.25" customHeight="1">
      <c r="I213" s="6"/>
    </row>
    <row r="214" ht="14.25" customHeight="1">
      <c r="I214" s="6"/>
    </row>
    <row r="215" ht="14.25" customHeight="1">
      <c r="I215" s="6"/>
    </row>
    <row r="216" ht="14.25" customHeight="1">
      <c r="I216" s="6"/>
    </row>
    <row r="217" ht="14.25" customHeight="1">
      <c r="I217" s="6"/>
    </row>
    <row r="218" ht="14.25" customHeight="1">
      <c r="I218" s="6"/>
    </row>
    <row r="219" ht="14.25" customHeight="1">
      <c r="I219" s="6"/>
    </row>
    <row r="220" ht="14.25" customHeight="1">
      <c r="I220" s="6"/>
    </row>
    <row r="221" ht="14.25" customHeight="1">
      <c r="I221" s="6"/>
    </row>
    <row r="222" ht="14.25" customHeight="1">
      <c r="I222" s="6"/>
    </row>
    <row r="223" ht="14.25" customHeight="1">
      <c r="I223" s="6"/>
    </row>
    <row r="224" ht="14.25" customHeight="1">
      <c r="I224" s="6"/>
    </row>
    <row r="225" ht="14.25" customHeight="1">
      <c r="I225" s="6"/>
    </row>
    <row r="226" ht="14.25" customHeight="1">
      <c r="I226" s="6"/>
    </row>
    <row r="227" ht="14.25" customHeight="1">
      <c r="I227" s="6"/>
    </row>
    <row r="228" ht="14.25" customHeight="1">
      <c r="I228" s="6"/>
    </row>
    <row r="229" ht="14.25" customHeight="1">
      <c r="I229" s="6"/>
    </row>
    <row r="230" ht="14.25" customHeight="1">
      <c r="I230" s="6"/>
    </row>
    <row r="231" ht="14.25" customHeight="1">
      <c r="I231" s="6"/>
    </row>
    <row r="232" ht="14.25" customHeight="1">
      <c r="I232" s="6"/>
    </row>
    <row r="233" ht="14.25" customHeight="1">
      <c r="I233" s="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8:C9"/>
    <mergeCell ref="C13:C14"/>
    <mergeCell ref="C18:C19"/>
    <mergeCell ref="C11:J11"/>
    <mergeCell ref="C16:J16"/>
    <mergeCell ref="N13:N14"/>
    <mergeCell ref="N18:N19"/>
    <mergeCell ref="C3:J4"/>
    <mergeCell ref="N3:S4"/>
    <mergeCell ref="C6:J6"/>
    <mergeCell ref="N6:S6"/>
    <mergeCell ref="N8:N9"/>
    <mergeCell ref="N11:S11"/>
    <mergeCell ref="N16:S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29"/>
    <col customWidth="1" min="2" max="2" width="3.86"/>
    <col customWidth="1" min="3" max="3" width="13.57"/>
    <col customWidth="1" min="4" max="4" width="9.0"/>
    <col customWidth="1" min="5" max="5" width="11.14"/>
    <col customWidth="1" min="6" max="7" width="12.14"/>
    <col customWidth="1" min="8" max="8" width="12.57"/>
    <col customWidth="1" min="9" max="9" width="10.57"/>
    <col customWidth="1" min="10" max="10" width="16.86"/>
    <col customWidth="1" min="11" max="11" width="4.43"/>
    <col customWidth="1" min="12" max="12" width="2.29"/>
    <col customWidth="1" min="13" max="13" width="11.14"/>
    <col customWidth="1" min="14" max="14" width="12.14"/>
    <col customWidth="1" min="15" max="15" width="10.71"/>
    <col customWidth="1" min="16" max="17" width="11.14"/>
    <col customWidth="1" min="18" max="19" width="12.14"/>
    <col customWidth="1" min="20" max="21" width="10.71"/>
  </cols>
  <sheetData>
    <row r="1" ht="7.5" customHeight="1">
      <c r="A1" s="12"/>
      <c r="B1" s="12"/>
      <c r="C1" s="16">
        <v>0.03</v>
      </c>
      <c r="D1" s="12"/>
      <c r="E1" s="12"/>
      <c r="F1" s="12"/>
      <c r="G1" s="12"/>
      <c r="H1" s="12"/>
      <c r="I1" s="21"/>
      <c r="J1" s="12"/>
      <c r="K1" s="12"/>
      <c r="L1" s="12"/>
    </row>
    <row r="2" ht="6.75" customHeight="1">
      <c r="A2" s="12"/>
      <c r="B2" s="27"/>
      <c r="C2" s="28"/>
      <c r="D2" s="28"/>
      <c r="E2" s="28"/>
      <c r="F2" s="28"/>
      <c r="G2" s="28"/>
      <c r="H2" s="28"/>
      <c r="I2" s="29"/>
      <c r="J2" s="28"/>
      <c r="K2" s="30"/>
      <c r="L2" s="12"/>
      <c r="M2" s="27"/>
      <c r="N2" s="28"/>
      <c r="O2" s="28"/>
      <c r="P2" s="28"/>
      <c r="Q2" s="28"/>
      <c r="R2" s="28"/>
      <c r="S2" s="28"/>
      <c r="T2" s="30"/>
    </row>
    <row r="3" ht="15.0" customHeight="1">
      <c r="A3" s="12"/>
      <c r="B3" s="31"/>
      <c r="C3" s="32" t="s">
        <v>48</v>
      </c>
      <c r="D3" s="33"/>
      <c r="E3" s="33"/>
      <c r="F3" s="33"/>
      <c r="G3" s="33"/>
      <c r="H3" s="33"/>
      <c r="I3" s="33"/>
      <c r="J3" s="34"/>
      <c r="K3" s="35"/>
      <c r="L3" s="12"/>
      <c r="M3" s="31"/>
      <c r="N3" s="36" t="s">
        <v>49</v>
      </c>
      <c r="O3" s="33"/>
      <c r="P3" s="33"/>
      <c r="Q3" s="33"/>
      <c r="R3" s="33"/>
      <c r="S3" s="34"/>
      <c r="T3" s="35"/>
    </row>
    <row r="4" ht="14.25" customHeight="1">
      <c r="A4" s="12"/>
      <c r="B4" s="31"/>
      <c r="C4" s="37"/>
      <c r="D4" s="38"/>
      <c r="E4" s="38"/>
      <c r="F4" s="38"/>
      <c r="G4" s="38"/>
      <c r="H4" s="38"/>
      <c r="I4" s="38"/>
      <c r="J4" s="39"/>
      <c r="K4" s="35"/>
      <c r="L4" s="12"/>
      <c r="M4" s="31"/>
      <c r="N4" s="37"/>
      <c r="O4" s="38"/>
      <c r="P4" s="38"/>
      <c r="Q4" s="38"/>
      <c r="R4" s="38"/>
      <c r="S4" s="39"/>
      <c r="T4" s="35"/>
    </row>
    <row r="5" ht="14.25" customHeight="1">
      <c r="A5" s="12"/>
      <c r="B5" s="31"/>
      <c r="C5" s="12"/>
      <c r="D5" s="12"/>
      <c r="E5" s="12"/>
      <c r="F5" s="12"/>
      <c r="G5" s="12"/>
      <c r="H5" s="12"/>
      <c r="I5" s="21"/>
      <c r="J5" s="12"/>
      <c r="K5" s="35"/>
      <c r="L5" s="12"/>
      <c r="M5" s="31"/>
      <c r="N5" s="12"/>
      <c r="O5" s="12"/>
      <c r="P5" s="12"/>
      <c r="Q5" s="12"/>
      <c r="R5" s="12"/>
      <c r="S5" s="12"/>
      <c r="T5" s="35"/>
    </row>
    <row r="6" ht="35.25" customHeight="1">
      <c r="A6" s="12"/>
      <c r="B6" s="31"/>
      <c r="C6" s="40" t="s">
        <v>26</v>
      </c>
      <c r="D6" s="4"/>
      <c r="E6" s="4"/>
      <c r="F6" s="4"/>
      <c r="G6" s="4"/>
      <c r="H6" s="4"/>
      <c r="I6" s="4"/>
      <c r="J6" s="5"/>
      <c r="K6" s="35"/>
      <c r="L6" s="12"/>
      <c r="M6" s="31"/>
      <c r="N6" s="40" t="s">
        <v>29</v>
      </c>
      <c r="O6" s="4"/>
      <c r="P6" s="4"/>
      <c r="Q6" s="4"/>
      <c r="R6" s="4"/>
      <c r="S6" s="5"/>
      <c r="T6" s="35"/>
    </row>
    <row r="7" ht="14.25" customHeight="1">
      <c r="A7" s="12"/>
      <c r="B7" s="31"/>
      <c r="C7" s="41" t="s">
        <v>30</v>
      </c>
      <c r="D7" s="42" t="s">
        <v>31</v>
      </c>
      <c r="E7" s="42" t="s">
        <v>32</v>
      </c>
      <c r="F7" s="43" t="s">
        <v>33</v>
      </c>
      <c r="G7" s="43" t="s">
        <v>34</v>
      </c>
      <c r="H7" s="42" t="s">
        <v>35</v>
      </c>
      <c r="I7" s="44" t="s">
        <v>36</v>
      </c>
      <c r="J7" s="45" t="s">
        <v>37</v>
      </c>
      <c r="K7" s="35"/>
      <c r="L7" s="12"/>
      <c r="M7" s="31"/>
      <c r="N7" s="46" t="s">
        <v>30</v>
      </c>
      <c r="O7" s="42" t="s">
        <v>31</v>
      </c>
      <c r="P7" s="42" t="s">
        <v>32</v>
      </c>
      <c r="Q7" s="43" t="s">
        <v>33</v>
      </c>
      <c r="R7" s="42" t="s">
        <v>38</v>
      </c>
      <c r="S7" s="42" t="s">
        <v>35</v>
      </c>
      <c r="T7" s="35"/>
    </row>
    <row r="8" ht="14.25" customHeight="1">
      <c r="A8" s="12"/>
      <c r="B8" s="31"/>
      <c r="C8" s="47">
        <v>9555000.0</v>
      </c>
      <c r="D8" s="48">
        <v>1.0</v>
      </c>
      <c r="E8" s="74">
        <v>0.6337</v>
      </c>
      <c r="F8" s="51">
        <f>H8</f>
        <v>3499996.5</v>
      </c>
      <c r="G8" s="51">
        <v>0.0</v>
      </c>
      <c r="H8" s="51">
        <f>C8-(C8*E8)</f>
        <v>3499996.5</v>
      </c>
      <c r="I8" s="53">
        <f>H8/J8</f>
        <v>4971.585938</v>
      </c>
      <c r="J8" s="48">
        <v>704.0</v>
      </c>
      <c r="K8" s="35"/>
      <c r="L8" s="12"/>
      <c r="M8" s="31"/>
      <c r="N8" s="55">
        <v>2000000.0</v>
      </c>
      <c r="O8" s="48">
        <v>1.0</v>
      </c>
      <c r="P8" s="57">
        <v>0.4</v>
      </c>
      <c r="Q8" s="51">
        <v>0.0</v>
      </c>
      <c r="R8" s="51">
        <f>S8/O8</f>
        <v>1200000</v>
      </c>
      <c r="S8" s="51">
        <f>N8-(N8*P8)</f>
        <v>1200000</v>
      </c>
      <c r="T8" s="35"/>
    </row>
    <row r="9" ht="14.25" customHeight="1">
      <c r="A9" s="12"/>
      <c r="B9" s="31"/>
      <c r="C9" s="58"/>
      <c r="D9" s="48">
        <v>22.0</v>
      </c>
      <c r="E9" s="74">
        <v>0.3721</v>
      </c>
      <c r="F9" s="59">
        <v>125000.0</v>
      </c>
      <c r="G9" s="51">
        <f>(H9-F9)/(D9-1)</f>
        <v>279742.119</v>
      </c>
      <c r="H9" s="51">
        <f>C8-(C8*E9)</f>
        <v>5999584.5</v>
      </c>
      <c r="I9" s="53">
        <f>H9/J8</f>
        <v>8522.137074</v>
      </c>
      <c r="J9" s="60">
        <f>J8/D9</f>
        <v>32</v>
      </c>
      <c r="K9" s="35"/>
      <c r="L9" s="12"/>
      <c r="M9" s="31"/>
      <c r="N9" s="58"/>
      <c r="O9" s="48">
        <v>6.0</v>
      </c>
      <c r="P9" s="57">
        <v>0.25</v>
      </c>
      <c r="Q9" s="51">
        <v>125000.0</v>
      </c>
      <c r="R9" s="51">
        <f>(S9-Q9)/(O9-1)</f>
        <v>275000</v>
      </c>
      <c r="S9" s="51">
        <f>N8-(N8*P9)</f>
        <v>1500000</v>
      </c>
      <c r="T9" s="61"/>
      <c r="U9" s="10"/>
    </row>
    <row r="10" ht="14.25" customHeight="1">
      <c r="A10" s="12"/>
      <c r="B10" s="31"/>
      <c r="C10" s="12"/>
      <c r="D10" s="12"/>
      <c r="E10" s="12"/>
      <c r="F10" s="12"/>
      <c r="G10" s="12"/>
      <c r="H10" s="12"/>
      <c r="I10" s="21"/>
      <c r="J10" s="12"/>
      <c r="K10" s="35"/>
      <c r="L10" s="12"/>
      <c r="M10" s="31"/>
      <c r="N10" s="12"/>
      <c r="O10" s="12"/>
      <c r="P10" s="12"/>
      <c r="Q10" s="12"/>
      <c r="R10" s="62"/>
      <c r="S10" s="12"/>
      <c r="T10" s="35"/>
    </row>
    <row r="11" ht="33.0" customHeight="1">
      <c r="A11" s="12"/>
      <c r="B11" s="31"/>
      <c r="C11" s="40" t="s">
        <v>44</v>
      </c>
      <c r="D11" s="4"/>
      <c r="E11" s="4"/>
      <c r="F11" s="4"/>
      <c r="G11" s="4"/>
      <c r="H11" s="4"/>
      <c r="I11" s="4"/>
      <c r="J11" s="5"/>
      <c r="K11" s="35"/>
      <c r="L11" s="12"/>
      <c r="M11" s="31"/>
      <c r="N11" s="40" t="s">
        <v>45</v>
      </c>
      <c r="O11" s="4"/>
      <c r="P11" s="4"/>
      <c r="Q11" s="4"/>
      <c r="R11" s="4"/>
      <c r="S11" s="5"/>
      <c r="T11" s="35"/>
    </row>
    <row r="12" ht="14.25" customHeight="1">
      <c r="A12" s="12"/>
      <c r="B12" s="31"/>
      <c r="C12" s="41" t="s">
        <v>30</v>
      </c>
      <c r="D12" s="42" t="s">
        <v>31</v>
      </c>
      <c r="E12" s="42" t="s">
        <v>32</v>
      </c>
      <c r="F12" s="43" t="s">
        <v>33</v>
      </c>
      <c r="G12" s="43" t="s">
        <v>34</v>
      </c>
      <c r="H12" s="42" t="s">
        <v>35</v>
      </c>
      <c r="I12" s="44" t="s">
        <v>36</v>
      </c>
      <c r="J12" s="45" t="s">
        <v>37</v>
      </c>
      <c r="K12" s="35"/>
      <c r="L12" s="12"/>
      <c r="M12" s="31"/>
      <c r="N12" s="46" t="s">
        <v>30</v>
      </c>
      <c r="O12" s="42" t="s">
        <v>31</v>
      </c>
      <c r="P12" s="42" t="s">
        <v>32</v>
      </c>
      <c r="Q12" s="43" t="s">
        <v>33</v>
      </c>
      <c r="R12" s="42" t="s">
        <v>38</v>
      </c>
      <c r="S12" s="42" t="s">
        <v>35</v>
      </c>
      <c r="T12" s="35"/>
    </row>
    <row r="13" ht="14.25" customHeight="1">
      <c r="A13" s="12"/>
      <c r="B13" s="31"/>
      <c r="C13" s="47">
        <v>1.0105E7</v>
      </c>
      <c r="D13" s="48">
        <v>1.0</v>
      </c>
      <c r="E13" s="74">
        <v>0.6537</v>
      </c>
      <c r="F13" s="51">
        <f>H13</f>
        <v>3499361.5</v>
      </c>
      <c r="G13" s="51">
        <v>0.0</v>
      </c>
      <c r="H13" s="51">
        <f>C13-(C13*E13)</f>
        <v>3499361.5</v>
      </c>
      <c r="I13" s="53">
        <f>H13/J13</f>
        <v>4703.442876</v>
      </c>
      <c r="J13" s="48">
        <v>744.0</v>
      </c>
      <c r="K13" s="35"/>
      <c r="L13" s="12"/>
      <c r="M13" s="31"/>
      <c r="N13" s="55">
        <v>3000000.0</v>
      </c>
      <c r="O13" s="48">
        <v>1.0</v>
      </c>
      <c r="P13" s="49">
        <v>0.5167</v>
      </c>
      <c r="Q13" s="51">
        <v>0.0</v>
      </c>
      <c r="R13" s="51">
        <f>S13/O13</f>
        <v>1449900</v>
      </c>
      <c r="S13" s="51">
        <f>N13-(N13*P13)</f>
        <v>1449900</v>
      </c>
      <c r="T13" s="35"/>
    </row>
    <row r="14" ht="14.25" customHeight="1">
      <c r="A14" s="12"/>
      <c r="B14" s="31"/>
      <c r="C14" s="58"/>
      <c r="D14" s="48">
        <v>22.0</v>
      </c>
      <c r="E14" s="74">
        <v>0.4063</v>
      </c>
      <c r="F14" s="59">
        <v>125000.0</v>
      </c>
      <c r="G14" s="51">
        <f>(H14-F14)/(D14-1)</f>
        <v>279730.4048</v>
      </c>
      <c r="H14" s="51">
        <f>C13-(C13*E14)</f>
        <v>5999338.5</v>
      </c>
      <c r="I14" s="53">
        <f>H14/J13</f>
        <v>8063.627016</v>
      </c>
      <c r="J14" s="60">
        <f>J13/D14</f>
        <v>33.81818182</v>
      </c>
      <c r="K14" s="35"/>
      <c r="L14" s="12"/>
      <c r="M14" s="31"/>
      <c r="N14" s="58"/>
      <c r="O14" s="48">
        <v>9.0</v>
      </c>
      <c r="P14" s="49">
        <v>0.2334</v>
      </c>
      <c r="Q14" s="51">
        <v>125000.0</v>
      </c>
      <c r="R14" s="51">
        <f>(S14-Q14)/(O14-1)</f>
        <v>271850</v>
      </c>
      <c r="S14" s="51">
        <f>N13-(N13*P14)</f>
        <v>2299800</v>
      </c>
      <c r="T14" s="35"/>
    </row>
    <row r="15" ht="14.25" customHeight="1">
      <c r="A15" s="12"/>
      <c r="B15" s="31"/>
      <c r="C15" s="12"/>
      <c r="D15" s="12"/>
      <c r="E15" s="12"/>
      <c r="F15" s="12"/>
      <c r="G15" s="12"/>
      <c r="H15" s="12"/>
      <c r="I15" s="21"/>
      <c r="J15" s="12"/>
      <c r="K15" s="35"/>
      <c r="L15" s="12"/>
      <c r="M15" s="31"/>
      <c r="N15" s="12"/>
      <c r="O15" s="12"/>
      <c r="P15" s="12"/>
      <c r="Q15" s="12"/>
      <c r="R15" s="12"/>
      <c r="S15" s="12"/>
      <c r="T15" s="35"/>
    </row>
    <row r="16" ht="33.0" customHeight="1">
      <c r="A16" s="12"/>
      <c r="B16" s="31"/>
      <c r="C16" s="40" t="s">
        <v>46</v>
      </c>
      <c r="D16" s="4"/>
      <c r="E16" s="4"/>
      <c r="F16" s="4"/>
      <c r="G16" s="4"/>
      <c r="H16" s="4"/>
      <c r="I16" s="4"/>
      <c r="J16" s="5"/>
      <c r="K16" s="35"/>
      <c r="L16" s="12"/>
      <c r="M16" s="31"/>
      <c r="N16" s="40" t="s">
        <v>47</v>
      </c>
      <c r="O16" s="4"/>
      <c r="P16" s="4"/>
      <c r="Q16" s="4"/>
      <c r="R16" s="4"/>
      <c r="S16" s="5"/>
      <c r="T16" s="35"/>
    </row>
    <row r="17" ht="14.25" customHeight="1">
      <c r="A17" s="12"/>
      <c r="B17" s="31"/>
      <c r="C17" s="70" t="s">
        <v>30</v>
      </c>
      <c r="D17" s="42" t="s">
        <v>31</v>
      </c>
      <c r="E17" s="42" t="s">
        <v>32</v>
      </c>
      <c r="F17" s="43" t="s">
        <v>33</v>
      </c>
      <c r="G17" s="43" t="s">
        <v>34</v>
      </c>
      <c r="H17" s="42" t="s">
        <v>35</v>
      </c>
      <c r="I17" s="44" t="s">
        <v>36</v>
      </c>
      <c r="J17" s="45" t="s">
        <v>37</v>
      </c>
      <c r="K17" s="35"/>
      <c r="L17" s="12"/>
      <c r="M17" s="31"/>
      <c r="N17" s="46" t="s">
        <v>30</v>
      </c>
      <c r="O17" s="42" t="s">
        <v>31</v>
      </c>
      <c r="P17" s="42" t="s">
        <v>32</v>
      </c>
      <c r="Q17" s="43" t="s">
        <v>33</v>
      </c>
      <c r="R17" s="42" t="s">
        <v>38</v>
      </c>
      <c r="S17" s="42" t="s">
        <v>35</v>
      </c>
      <c r="T17" s="35"/>
    </row>
    <row r="18" ht="14.25" customHeight="1">
      <c r="A18" s="12"/>
      <c r="B18" s="31"/>
      <c r="C18" s="71">
        <v>1.2301E7</v>
      </c>
      <c r="D18" s="25">
        <v>1.0</v>
      </c>
      <c r="E18" s="49">
        <v>0.6749</v>
      </c>
      <c r="F18" s="51">
        <f>H18</f>
        <v>3999055.1</v>
      </c>
      <c r="G18" s="51">
        <v>0.0</v>
      </c>
      <c r="H18" s="51">
        <f>C18-(C18*E18)</f>
        <v>3999055.1</v>
      </c>
      <c r="I18" s="72">
        <f>H18/J18</f>
        <v>4413.968102</v>
      </c>
      <c r="J18" s="25">
        <v>906.0</v>
      </c>
      <c r="K18" s="35"/>
      <c r="L18" s="12"/>
      <c r="M18" s="31"/>
      <c r="N18" s="55">
        <v>4000000.0</v>
      </c>
      <c r="O18" s="48">
        <v>1.0</v>
      </c>
      <c r="P18" s="49">
        <v>0.625</v>
      </c>
      <c r="Q18" s="51">
        <v>0.0</v>
      </c>
      <c r="R18" s="51">
        <f>S18/O18</f>
        <v>1500000</v>
      </c>
      <c r="S18" s="51">
        <f>N18-(N18*P18)</f>
        <v>1500000</v>
      </c>
      <c r="T18" s="35"/>
    </row>
    <row r="19" ht="14.25" customHeight="1">
      <c r="A19" s="12"/>
      <c r="B19" s="31"/>
      <c r="C19" s="58"/>
      <c r="D19" s="25">
        <v>24.0</v>
      </c>
      <c r="E19" s="49">
        <v>0.4716</v>
      </c>
      <c r="F19" s="59">
        <v>125000.0</v>
      </c>
      <c r="G19" s="51">
        <f>(H19-F19)/(D19-1)</f>
        <v>277167.3217</v>
      </c>
      <c r="H19" s="51">
        <f>C18-(C18*E19)</f>
        <v>6499848.4</v>
      </c>
      <c r="I19" s="72">
        <f>H19/J18</f>
        <v>7174.225607</v>
      </c>
      <c r="J19" s="73">
        <f>J18/D19</f>
        <v>37.75</v>
      </c>
      <c r="K19" s="35"/>
      <c r="L19" s="12"/>
      <c r="M19" s="31"/>
      <c r="N19" s="58"/>
      <c r="O19" s="48">
        <v>12.0</v>
      </c>
      <c r="P19" s="57">
        <v>0.25</v>
      </c>
      <c r="Q19" s="51">
        <v>125000.0</v>
      </c>
      <c r="R19" s="51">
        <f>(S19-Q19)/(O19-1)</f>
        <v>261363.6364</v>
      </c>
      <c r="S19" s="51">
        <f>N18-(N18*P19)</f>
        <v>3000000</v>
      </c>
      <c r="T19" s="35"/>
    </row>
    <row r="20" ht="14.25" customHeight="1">
      <c r="A20" s="12"/>
      <c r="B20" s="75"/>
      <c r="C20" s="76"/>
      <c r="D20" s="76"/>
      <c r="E20" s="76"/>
      <c r="F20" s="76"/>
      <c r="G20" s="76"/>
      <c r="H20" s="77"/>
      <c r="I20" s="78"/>
      <c r="J20" s="76"/>
      <c r="K20" s="79"/>
      <c r="L20" s="12"/>
      <c r="M20" s="75"/>
      <c r="N20" s="76"/>
      <c r="O20" s="76"/>
      <c r="P20" s="76"/>
      <c r="Q20" s="76"/>
      <c r="R20" s="77"/>
      <c r="S20" s="76"/>
      <c r="T20" s="79"/>
    </row>
    <row r="21" ht="14.25" customHeight="1">
      <c r="A21" s="12"/>
      <c r="B21" s="12"/>
      <c r="C21" s="12"/>
      <c r="D21" s="12"/>
      <c r="E21" s="12"/>
      <c r="F21" s="12"/>
      <c r="G21" s="12"/>
      <c r="H21" s="62"/>
      <c r="I21" s="21"/>
      <c r="J21" s="12"/>
      <c r="K21" s="12"/>
      <c r="L21" s="12"/>
    </row>
    <row r="22" ht="33.0" customHeight="1">
      <c r="A22" s="12"/>
      <c r="D22" s="10"/>
      <c r="E22" s="10"/>
      <c r="F22" s="10"/>
      <c r="G22" s="10"/>
      <c r="H22" s="80"/>
      <c r="I22" s="81"/>
      <c r="L22" s="12"/>
    </row>
    <row r="23" ht="14.25" customHeight="1">
      <c r="A23" s="12"/>
      <c r="G23" s="82"/>
      <c r="H23" s="83"/>
      <c r="I23" s="81"/>
      <c r="L23" s="12"/>
    </row>
    <row r="24" ht="14.25" customHeight="1">
      <c r="A24" s="12"/>
      <c r="I24" s="81"/>
      <c r="L24" s="12"/>
      <c r="M24" s="10"/>
    </row>
    <row r="25" ht="14.25" customHeight="1">
      <c r="A25" s="12"/>
      <c r="I25" s="6"/>
      <c r="L25" s="12"/>
      <c r="M25" s="10"/>
      <c r="N25" s="10"/>
    </row>
    <row r="26" ht="14.25" customHeight="1">
      <c r="A26" s="12"/>
      <c r="I26" s="6"/>
      <c r="L26" s="12"/>
    </row>
    <row r="27" ht="33.0" customHeight="1">
      <c r="A27" s="12"/>
      <c r="I27" s="6"/>
      <c r="L27" s="12"/>
    </row>
    <row r="28" ht="14.25" customHeight="1">
      <c r="A28" s="12"/>
      <c r="I28" s="6"/>
      <c r="L28" s="12"/>
    </row>
    <row r="29" ht="14.25" customHeight="1">
      <c r="A29" s="12"/>
      <c r="I29" s="6"/>
      <c r="L29" s="12"/>
    </row>
    <row r="30" ht="14.25" customHeight="1">
      <c r="A30" s="12"/>
      <c r="I30" s="6"/>
      <c r="L30" s="12"/>
    </row>
    <row r="31" ht="14.25" customHeight="1">
      <c r="A31" s="12"/>
      <c r="I31" s="6"/>
      <c r="L31" s="12"/>
    </row>
    <row r="32" ht="14.25" customHeight="1">
      <c r="A32" s="12"/>
      <c r="I32" s="6"/>
      <c r="L32" s="12"/>
    </row>
    <row r="33" ht="34.5" customHeight="1">
      <c r="A33" s="12"/>
      <c r="H33" s="84">
        <f>150000*6%</f>
        <v>9000</v>
      </c>
      <c r="I33" s="6"/>
      <c r="L33" s="12"/>
    </row>
    <row r="34" ht="14.25" customHeight="1">
      <c r="A34" s="12"/>
      <c r="I34" s="6"/>
      <c r="L34" s="12"/>
    </row>
    <row r="35" ht="14.25" customHeight="1">
      <c r="A35" s="12"/>
      <c r="I35" s="6"/>
      <c r="L35" s="12"/>
      <c r="M35" s="10"/>
    </row>
    <row r="36" ht="14.25" customHeight="1">
      <c r="A36" s="12"/>
      <c r="I36" s="6"/>
      <c r="L36" s="12"/>
      <c r="M36" s="10"/>
    </row>
    <row r="37" ht="14.25" customHeight="1">
      <c r="A37" s="12"/>
      <c r="I37" s="6"/>
      <c r="L37" s="12"/>
    </row>
    <row r="38" ht="14.25" customHeight="1">
      <c r="A38" s="12"/>
      <c r="I38" s="6"/>
      <c r="L38" s="12"/>
    </row>
    <row r="39" ht="14.25" customHeight="1">
      <c r="I39" s="6"/>
    </row>
    <row r="40" ht="14.25" customHeight="1">
      <c r="I40" s="6"/>
    </row>
    <row r="41" ht="14.25" customHeight="1">
      <c r="I41" s="6"/>
    </row>
    <row r="42" ht="14.25" customHeight="1">
      <c r="I42" s="6"/>
    </row>
    <row r="43" ht="14.25" customHeight="1">
      <c r="I43" s="6"/>
    </row>
    <row r="44" ht="14.25" customHeight="1">
      <c r="I44" s="6"/>
    </row>
    <row r="45" ht="14.25" customHeight="1">
      <c r="I45" s="6"/>
    </row>
    <row r="46" ht="14.25" customHeight="1">
      <c r="I46" s="6"/>
    </row>
    <row r="47" ht="14.25" customHeight="1">
      <c r="I47" s="6"/>
    </row>
    <row r="48" ht="14.25" customHeight="1">
      <c r="I48" s="6"/>
    </row>
    <row r="49" ht="14.25" customHeight="1">
      <c r="I49" s="6"/>
    </row>
    <row r="50" ht="14.25" customHeight="1">
      <c r="I50" s="6"/>
    </row>
    <row r="51" ht="14.25" customHeight="1">
      <c r="I51" s="6"/>
    </row>
    <row r="52" ht="14.25" customHeight="1">
      <c r="I52" s="6"/>
    </row>
    <row r="53" ht="14.25" customHeight="1">
      <c r="I53" s="6"/>
    </row>
    <row r="54" ht="14.25" customHeight="1">
      <c r="I54" s="6"/>
    </row>
    <row r="55" ht="14.25" customHeight="1">
      <c r="I55" s="6"/>
    </row>
    <row r="56" ht="14.25" customHeight="1">
      <c r="I56" s="6"/>
    </row>
    <row r="57" ht="14.25" customHeight="1">
      <c r="I57" s="6"/>
    </row>
    <row r="58" ht="14.25" customHeight="1">
      <c r="I58" s="6"/>
    </row>
    <row r="59" ht="14.25" customHeight="1">
      <c r="I59" s="6"/>
    </row>
    <row r="60" ht="14.25" customHeight="1">
      <c r="I60" s="6"/>
    </row>
    <row r="61" ht="14.25" customHeight="1">
      <c r="I61" s="6"/>
    </row>
    <row r="62" ht="14.25" customHeight="1">
      <c r="I62" s="6"/>
    </row>
    <row r="63" ht="14.25" customHeight="1">
      <c r="I63" s="6"/>
    </row>
    <row r="64" ht="14.25" customHeight="1">
      <c r="I64" s="6"/>
    </row>
    <row r="65" ht="14.25" customHeight="1">
      <c r="I65" s="6"/>
    </row>
    <row r="66" ht="14.25" customHeight="1">
      <c r="I66" s="6"/>
    </row>
    <row r="67" ht="14.25" customHeight="1">
      <c r="I67" s="6"/>
    </row>
    <row r="68" ht="14.25" customHeight="1">
      <c r="I68" s="6"/>
    </row>
    <row r="69" ht="14.25" customHeight="1">
      <c r="I69" s="6"/>
    </row>
    <row r="70" ht="14.25" customHeight="1">
      <c r="I70" s="6"/>
    </row>
    <row r="71" ht="14.25" customHeight="1">
      <c r="I71" s="6"/>
    </row>
    <row r="72" ht="14.25" customHeight="1">
      <c r="I72" s="6"/>
    </row>
    <row r="73" ht="14.25" customHeight="1">
      <c r="I73" s="6"/>
    </row>
    <row r="74" ht="14.25" customHeight="1">
      <c r="I74" s="6"/>
    </row>
    <row r="75" ht="14.25" customHeight="1">
      <c r="I75" s="6"/>
    </row>
    <row r="76" ht="14.25" customHeight="1">
      <c r="I76" s="6"/>
    </row>
    <row r="77" ht="14.25" customHeight="1">
      <c r="I77" s="6"/>
    </row>
    <row r="78" ht="14.25" customHeight="1">
      <c r="I78" s="6"/>
    </row>
    <row r="79" ht="14.25" customHeight="1">
      <c r="I79" s="6"/>
    </row>
    <row r="80" ht="14.25" customHeight="1">
      <c r="I80" s="6"/>
    </row>
    <row r="81" ht="14.25" customHeight="1">
      <c r="I81" s="6"/>
    </row>
    <row r="82" ht="14.25" customHeight="1">
      <c r="I82" s="6"/>
    </row>
    <row r="83" ht="14.25" customHeight="1">
      <c r="I83" s="6"/>
    </row>
    <row r="84" ht="14.25" customHeight="1">
      <c r="I84" s="6"/>
    </row>
    <row r="85" ht="14.25" customHeight="1">
      <c r="I85" s="6"/>
    </row>
    <row r="86" ht="14.25" customHeight="1">
      <c r="I86" s="6"/>
    </row>
    <row r="87" ht="14.25" customHeight="1">
      <c r="I87" s="6"/>
    </row>
    <row r="88" ht="14.25" customHeight="1">
      <c r="I88" s="6"/>
    </row>
    <row r="89" ht="14.25" customHeight="1">
      <c r="I89" s="6"/>
    </row>
    <row r="90" ht="14.25" customHeight="1">
      <c r="I90" s="6"/>
    </row>
    <row r="91" ht="14.25" customHeight="1">
      <c r="I91" s="6"/>
    </row>
    <row r="92" ht="14.25" customHeight="1">
      <c r="I92" s="6"/>
    </row>
    <row r="93" ht="14.25" customHeight="1">
      <c r="I93" s="6"/>
    </row>
    <row r="94" ht="14.25" customHeight="1">
      <c r="I94" s="6"/>
    </row>
    <row r="95" ht="14.25" customHeight="1">
      <c r="I95" s="6"/>
    </row>
    <row r="96" ht="14.25" customHeight="1">
      <c r="I96" s="6"/>
    </row>
    <row r="97" ht="14.25" customHeight="1">
      <c r="I97" s="6"/>
    </row>
    <row r="98" ht="14.25" customHeight="1">
      <c r="I98" s="6"/>
    </row>
    <row r="99" ht="14.25" customHeight="1">
      <c r="I99" s="6"/>
    </row>
    <row r="100" ht="14.25" customHeight="1">
      <c r="I100" s="6"/>
    </row>
    <row r="101" ht="14.25" customHeight="1">
      <c r="I101" s="6"/>
    </row>
    <row r="102" ht="14.25" customHeight="1">
      <c r="I102" s="6"/>
    </row>
    <row r="103" ht="14.25" customHeight="1">
      <c r="I103" s="6"/>
    </row>
    <row r="104" ht="14.25" customHeight="1">
      <c r="I104" s="6"/>
    </row>
    <row r="105" ht="14.25" customHeight="1">
      <c r="I105" s="6"/>
    </row>
    <row r="106" ht="14.25" customHeight="1">
      <c r="I106" s="6"/>
    </row>
    <row r="107" ht="14.25" customHeight="1">
      <c r="I107" s="6"/>
    </row>
    <row r="108" ht="14.25" customHeight="1">
      <c r="I108" s="6"/>
    </row>
    <row r="109" ht="14.25" customHeight="1">
      <c r="I109" s="6"/>
    </row>
    <row r="110" ht="14.25" customHeight="1">
      <c r="I110" s="6"/>
    </row>
    <row r="111" ht="14.25" customHeight="1">
      <c r="I111" s="6"/>
    </row>
    <row r="112" ht="14.25" customHeight="1">
      <c r="I112" s="6"/>
    </row>
    <row r="113" ht="14.25" customHeight="1">
      <c r="I113" s="6"/>
    </row>
    <row r="114" ht="14.25" customHeight="1">
      <c r="I114" s="6"/>
    </row>
    <row r="115" ht="14.25" customHeight="1">
      <c r="I115" s="6"/>
    </row>
    <row r="116" ht="14.25" customHeight="1">
      <c r="I116" s="6"/>
    </row>
    <row r="117" ht="14.25" customHeight="1">
      <c r="I117" s="6"/>
    </row>
    <row r="118" ht="14.25" customHeight="1">
      <c r="I118" s="6"/>
    </row>
    <row r="119" ht="14.25" customHeight="1">
      <c r="I119" s="6"/>
    </row>
    <row r="120" ht="14.25" customHeight="1">
      <c r="I120" s="6"/>
    </row>
    <row r="121" ht="14.25" customHeight="1">
      <c r="I121" s="6"/>
    </row>
    <row r="122" ht="14.25" customHeight="1">
      <c r="I122" s="6"/>
    </row>
    <row r="123" ht="14.25" customHeight="1">
      <c r="I123" s="6"/>
    </row>
    <row r="124" ht="14.25" customHeight="1">
      <c r="I124" s="6"/>
    </row>
    <row r="125" ht="14.25" customHeight="1">
      <c r="I125" s="6"/>
    </row>
    <row r="126" ht="14.25" customHeight="1">
      <c r="I126" s="6"/>
    </row>
    <row r="127" ht="14.25" customHeight="1">
      <c r="I127" s="6"/>
    </row>
    <row r="128" ht="14.25" customHeight="1">
      <c r="I128" s="6"/>
    </row>
    <row r="129" ht="14.25" customHeight="1">
      <c r="I129" s="6"/>
    </row>
    <row r="130" ht="14.25" customHeight="1">
      <c r="I130" s="6"/>
    </row>
    <row r="131" ht="14.25" customHeight="1">
      <c r="I131" s="6"/>
    </row>
    <row r="132" ht="14.25" customHeight="1">
      <c r="I132" s="6"/>
    </row>
    <row r="133" ht="14.25" customHeight="1">
      <c r="I133" s="6"/>
    </row>
    <row r="134" ht="14.25" customHeight="1">
      <c r="I134" s="6"/>
    </row>
    <row r="135" ht="14.25" customHeight="1">
      <c r="I135" s="6"/>
    </row>
    <row r="136" ht="14.25" customHeight="1">
      <c r="I136" s="6"/>
    </row>
    <row r="137" ht="14.25" customHeight="1">
      <c r="I137" s="6"/>
    </row>
    <row r="138" ht="14.25" customHeight="1">
      <c r="I138" s="6"/>
    </row>
    <row r="139" ht="14.25" customHeight="1">
      <c r="I139" s="6"/>
    </row>
    <row r="140" ht="14.25" customHeight="1">
      <c r="I140" s="6"/>
    </row>
    <row r="141" ht="14.25" customHeight="1">
      <c r="I141" s="6"/>
    </row>
    <row r="142" ht="14.25" customHeight="1">
      <c r="I142" s="6"/>
    </row>
    <row r="143" ht="14.25" customHeight="1">
      <c r="I143" s="6"/>
    </row>
    <row r="144" ht="14.25" customHeight="1">
      <c r="I144" s="6"/>
    </row>
    <row r="145" ht="14.25" customHeight="1">
      <c r="I145" s="6"/>
    </row>
    <row r="146" ht="14.25" customHeight="1">
      <c r="I146" s="6"/>
    </row>
    <row r="147" ht="14.25" customHeight="1">
      <c r="I147" s="6"/>
    </row>
    <row r="148" ht="14.25" customHeight="1">
      <c r="I148" s="6"/>
    </row>
    <row r="149" ht="14.25" customHeight="1">
      <c r="I149" s="6"/>
    </row>
    <row r="150" ht="14.25" customHeight="1">
      <c r="I150" s="6"/>
    </row>
    <row r="151" ht="14.25" customHeight="1">
      <c r="I151" s="6"/>
    </row>
    <row r="152" ht="14.25" customHeight="1">
      <c r="I152" s="6"/>
    </row>
    <row r="153" ht="14.25" customHeight="1">
      <c r="I153" s="6"/>
    </row>
    <row r="154" ht="14.25" customHeight="1">
      <c r="I154" s="6"/>
    </row>
    <row r="155" ht="14.25" customHeight="1">
      <c r="I155" s="6"/>
    </row>
    <row r="156" ht="14.25" customHeight="1">
      <c r="I156" s="6"/>
    </row>
    <row r="157" ht="14.25" customHeight="1">
      <c r="I157" s="6"/>
    </row>
    <row r="158" ht="14.25" customHeight="1">
      <c r="I158" s="6"/>
    </row>
    <row r="159" ht="14.25" customHeight="1">
      <c r="I159" s="6"/>
    </row>
    <row r="160" ht="14.25" customHeight="1">
      <c r="I160" s="6"/>
    </row>
    <row r="161" ht="14.25" customHeight="1">
      <c r="I161" s="6"/>
    </row>
    <row r="162" ht="14.25" customHeight="1">
      <c r="I162" s="6"/>
    </row>
    <row r="163" ht="14.25" customHeight="1">
      <c r="I163" s="6"/>
    </row>
    <row r="164" ht="14.25" customHeight="1">
      <c r="I164" s="6"/>
    </row>
    <row r="165" ht="14.25" customHeight="1">
      <c r="I165" s="6"/>
    </row>
    <row r="166" ht="14.25" customHeight="1">
      <c r="I166" s="6"/>
    </row>
    <row r="167" ht="14.25" customHeight="1">
      <c r="I167" s="6"/>
    </row>
    <row r="168" ht="14.25" customHeight="1">
      <c r="I168" s="6"/>
    </row>
    <row r="169" ht="14.25" customHeight="1">
      <c r="I169" s="6"/>
    </row>
    <row r="170" ht="14.25" customHeight="1">
      <c r="I170" s="6"/>
    </row>
    <row r="171" ht="14.25" customHeight="1">
      <c r="I171" s="6"/>
    </row>
    <row r="172" ht="14.25" customHeight="1">
      <c r="I172" s="6"/>
    </row>
    <row r="173" ht="14.25" customHeight="1">
      <c r="I173" s="6"/>
    </row>
    <row r="174" ht="14.25" customHeight="1">
      <c r="I174" s="6"/>
    </row>
    <row r="175" ht="14.25" customHeight="1">
      <c r="I175" s="6"/>
    </row>
    <row r="176" ht="14.25" customHeight="1">
      <c r="I176" s="6"/>
    </row>
    <row r="177" ht="14.25" customHeight="1">
      <c r="I177" s="6"/>
    </row>
    <row r="178" ht="14.25" customHeight="1">
      <c r="I178" s="6"/>
    </row>
    <row r="179" ht="14.25" customHeight="1">
      <c r="I179" s="6"/>
    </row>
    <row r="180" ht="14.25" customHeight="1">
      <c r="I180" s="6"/>
    </row>
    <row r="181" ht="14.25" customHeight="1">
      <c r="I181" s="6"/>
    </row>
    <row r="182" ht="14.25" customHeight="1">
      <c r="I182" s="6"/>
    </row>
    <row r="183" ht="14.25" customHeight="1">
      <c r="I183" s="6"/>
    </row>
    <row r="184" ht="14.25" customHeight="1">
      <c r="I184" s="6"/>
    </row>
    <row r="185" ht="14.25" customHeight="1">
      <c r="I185" s="6"/>
    </row>
    <row r="186" ht="14.25" customHeight="1">
      <c r="I186" s="6"/>
    </row>
    <row r="187" ht="14.25" customHeight="1">
      <c r="I187" s="6"/>
    </row>
    <row r="188" ht="14.25" customHeight="1">
      <c r="I188" s="6"/>
    </row>
    <row r="189" ht="14.25" customHeight="1">
      <c r="I189" s="6"/>
    </row>
    <row r="190" ht="14.25" customHeight="1">
      <c r="I190" s="6"/>
    </row>
    <row r="191" ht="14.25" customHeight="1">
      <c r="I191" s="6"/>
    </row>
    <row r="192" ht="14.25" customHeight="1">
      <c r="I192" s="6"/>
    </row>
    <row r="193" ht="14.25" customHeight="1">
      <c r="I193" s="6"/>
    </row>
    <row r="194" ht="14.25" customHeight="1">
      <c r="I194" s="6"/>
    </row>
    <row r="195" ht="14.25" customHeight="1">
      <c r="I195" s="6"/>
    </row>
    <row r="196" ht="14.25" customHeight="1">
      <c r="I196" s="6"/>
    </row>
    <row r="197" ht="14.25" customHeight="1">
      <c r="I197" s="6"/>
    </row>
    <row r="198" ht="14.25" customHeight="1">
      <c r="I198" s="6"/>
    </row>
    <row r="199" ht="14.25" customHeight="1">
      <c r="I199" s="6"/>
    </row>
    <row r="200" ht="14.25" customHeight="1">
      <c r="I200" s="6"/>
    </row>
    <row r="201" ht="14.25" customHeight="1">
      <c r="I201" s="6"/>
    </row>
    <row r="202" ht="14.25" customHeight="1">
      <c r="I202" s="6"/>
    </row>
    <row r="203" ht="14.25" customHeight="1">
      <c r="I203" s="6"/>
    </row>
    <row r="204" ht="14.25" customHeight="1">
      <c r="I204" s="6"/>
    </row>
    <row r="205" ht="14.25" customHeight="1">
      <c r="I205" s="6"/>
    </row>
    <row r="206" ht="14.25" customHeight="1">
      <c r="I206" s="6"/>
    </row>
    <row r="207" ht="14.25" customHeight="1">
      <c r="I207" s="6"/>
    </row>
    <row r="208" ht="14.25" customHeight="1">
      <c r="I208" s="6"/>
    </row>
    <row r="209" ht="14.25" customHeight="1">
      <c r="I209" s="6"/>
    </row>
    <row r="210" ht="14.25" customHeight="1">
      <c r="I210" s="6"/>
    </row>
    <row r="211" ht="14.25" customHeight="1">
      <c r="I211" s="6"/>
    </row>
    <row r="212" ht="14.25" customHeight="1">
      <c r="I212" s="6"/>
    </row>
    <row r="213" ht="14.25" customHeight="1">
      <c r="I213" s="6"/>
    </row>
    <row r="214" ht="14.25" customHeight="1">
      <c r="I214" s="6"/>
    </row>
    <row r="215" ht="14.25" customHeight="1">
      <c r="I215" s="6"/>
    </row>
    <row r="216" ht="14.25" customHeight="1">
      <c r="I216" s="6"/>
    </row>
    <row r="217" ht="14.25" customHeight="1">
      <c r="I217" s="6"/>
    </row>
    <row r="218" ht="14.25" customHeight="1">
      <c r="I218" s="6"/>
    </row>
    <row r="219" ht="14.25" customHeight="1">
      <c r="I219" s="6"/>
    </row>
    <row r="220" ht="14.25" customHeight="1">
      <c r="I220" s="6"/>
    </row>
    <row r="221" ht="14.25" customHeight="1">
      <c r="I221" s="6"/>
    </row>
    <row r="222" ht="14.25" customHeight="1">
      <c r="I222" s="6"/>
    </row>
    <row r="223" ht="14.25" customHeight="1">
      <c r="I223" s="6"/>
    </row>
    <row r="224" ht="14.25" customHeight="1">
      <c r="I224" s="6"/>
    </row>
    <row r="225" ht="14.25" customHeight="1">
      <c r="I225" s="6"/>
    </row>
    <row r="226" ht="14.25" customHeight="1">
      <c r="I226" s="6"/>
    </row>
    <row r="227" ht="14.25" customHeight="1">
      <c r="I227" s="6"/>
    </row>
    <row r="228" ht="14.25" customHeight="1">
      <c r="I228" s="6"/>
    </row>
    <row r="229" ht="14.25" customHeight="1">
      <c r="I229" s="6"/>
    </row>
    <row r="230" ht="14.25" customHeight="1">
      <c r="I230" s="6"/>
    </row>
    <row r="231" ht="14.25" customHeight="1">
      <c r="I231" s="6"/>
    </row>
    <row r="232" ht="14.25" customHeight="1">
      <c r="I232" s="6"/>
    </row>
    <row r="233" ht="14.25" customHeight="1">
      <c r="I233" s="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8:C9"/>
    <mergeCell ref="C13:C14"/>
    <mergeCell ref="C18:C19"/>
    <mergeCell ref="C11:J11"/>
    <mergeCell ref="C16:J16"/>
    <mergeCell ref="N13:N14"/>
    <mergeCell ref="N18:N19"/>
    <mergeCell ref="C3:J4"/>
    <mergeCell ref="N3:S4"/>
    <mergeCell ref="C6:J6"/>
    <mergeCell ref="N6:S6"/>
    <mergeCell ref="N8:N9"/>
    <mergeCell ref="N11:S11"/>
    <mergeCell ref="N16:S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29"/>
    <col customWidth="1" min="2" max="2" width="3.86"/>
    <col customWidth="1" min="3" max="3" width="11.57"/>
    <col customWidth="1" min="4" max="4" width="15.29"/>
    <col customWidth="1" min="5" max="5" width="13.43"/>
    <col customWidth="1" min="6" max="6" width="11.14"/>
    <col customWidth="1" min="7" max="7" width="16.86"/>
    <col customWidth="1" min="8" max="8" width="12.57"/>
    <col customWidth="1" min="9" max="9" width="4.57"/>
    <col customWidth="1" min="10" max="10" width="7.29"/>
    <col customWidth="1" min="11" max="11" width="5.29"/>
    <col customWidth="1" min="12" max="12" width="11.57"/>
    <col customWidth="1" min="13" max="13" width="9.0"/>
    <col customWidth="1" min="14" max="14" width="9.86"/>
    <col customWidth="1" min="15" max="15" width="15.14"/>
    <col customWidth="1" min="16" max="16" width="16.86"/>
    <col customWidth="1" min="17" max="17" width="14.14"/>
    <col customWidth="1" min="18" max="18" width="5.14"/>
    <col customWidth="1" min="19" max="19" width="2.29"/>
    <col customWidth="1" min="20" max="20" width="5.29"/>
    <col customWidth="1" min="21" max="21" width="11.57"/>
    <col customWidth="1" min="22" max="22" width="9.0"/>
    <col customWidth="1" min="23" max="23" width="9.86"/>
    <col customWidth="1" min="24" max="24" width="13.86"/>
    <col customWidth="1" min="25" max="25" width="16.86"/>
    <col customWidth="1" min="26" max="26" width="14.14"/>
    <col customWidth="1" min="27" max="27" width="5.14"/>
    <col customWidth="1" min="28" max="29" width="4.43"/>
  </cols>
  <sheetData>
    <row r="1" ht="7.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t="6.75" customHeight="1">
      <c r="A2" s="12"/>
      <c r="B2" s="27"/>
      <c r="C2" s="28"/>
      <c r="D2" s="28"/>
      <c r="E2" s="28"/>
      <c r="F2" s="28"/>
      <c r="G2" s="28"/>
      <c r="H2" s="28"/>
      <c r="I2" s="30"/>
      <c r="J2" s="12"/>
      <c r="K2" s="27"/>
      <c r="L2" s="28"/>
      <c r="M2" s="28"/>
      <c r="N2" s="28"/>
      <c r="O2" s="28"/>
      <c r="P2" s="28"/>
      <c r="Q2" s="28"/>
      <c r="R2" s="30"/>
      <c r="S2" s="12"/>
      <c r="T2" s="27"/>
      <c r="U2" s="28"/>
      <c r="V2" s="28"/>
      <c r="W2" s="28"/>
      <c r="X2" s="28"/>
      <c r="Y2" s="28"/>
      <c r="Z2" s="28"/>
      <c r="AA2" s="30"/>
      <c r="AB2" s="86"/>
      <c r="AC2" s="86"/>
    </row>
    <row r="3" ht="15.0" customHeight="1">
      <c r="A3" s="12"/>
      <c r="B3" s="31"/>
      <c r="C3" s="87" t="s">
        <v>52</v>
      </c>
      <c r="D3" s="33"/>
      <c r="E3" s="33"/>
      <c r="F3" s="33"/>
      <c r="G3" s="33"/>
      <c r="H3" s="34"/>
      <c r="I3" s="35"/>
      <c r="J3" s="12"/>
      <c r="K3" s="31"/>
      <c r="L3" s="88" t="s">
        <v>53</v>
      </c>
      <c r="M3" s="33"/>
      <c r="N3" s="33"/>
      <c r="O3" s="33"/>
      <c r="P3" s="33"/>
      <c r="Q3" s="34"/>
      <c r="R3" s="35"/>
      <c r="S3" s="12"/>
      <c r="T3" s="31"/>
      <c r="U3" s="36" t="s">
        <v>54</v>
      </c>
      <c r="V3" s="33"/>
      <c r="W3" s="33"/>
      <c r="X3" s="33"/>
      <c r="Y3" s="33"/>
      <c r="Z3" s="33"/>
      <c r="AA3" s="35"/>
      <c r="AB3" s="86"/>
      <c r="AC3" s="86"/>
    </row>
    <row r="4" ht="15.0" customHeight="1">
      <c r="A4" s="12"/>
      <c r="B4" s="31"/>
      <c r="C4" s="37"/>
      <c r="D4" s="38"/>
      <c r="E4" s="38"/>
      <c r="F4" s="38"/>
      <c r="G4" s="38"/>
      <c r="H4" s="39"/>
      <c r="I4" s="35"/>
      <c r="J4" s="12"/>
      <c r="K4" s="31"/>
      <c r="L4" s="37"/>
      <c r="M4" s="38"/>
      <c r="N4" s="38"/>
      <c r="O4" s="38"/>
      <c r="P4" s="38"/>
      <c r="Q4" s="39"/>
      <c r="R4" s="35"/>
      <c r="S4" s="12"/>
      <c r="T4" s="31"/>
      <c r="U4" s="91"/>
      <c r="AA4" s="35"/>
      <c r="AB4" s="86"/>
      <c r="AC4" s="86"/>
    </row>
    <row r="5" ht="14.25" customHeight="1">
      <c r="A5" s="12"/>
      <c r="B5" s="31"/>
      <c r="C5" s="12"/>
      <c r="D5" s="12"/>
      <c r="E5" s="12"/>
      <c r="F5" s="12"/>
      <c r="G5" s="12"/>
      <c r="H5" s="12"/>
      <c r="I5" s="35"/>
      <c r="J5" s="12"/>
      <c r="K5" s="31"/>
      <c r="L5" s="12"/>
      <c r="M5" s="12"/>
      <c r="N5" s="12"/>
      <c r="O5" s="12"/>
      <c r="P5" s="12"/>
      <c r="Q5" s="12"/>
      <c r="R5" s="35"/>
      <c r="S5" s="12"/>
      <c r="T5" s="31"/>
      <c r="U5" s="12"/>
      <c r="V5" s="12"/>
      <c r="W5" s="12"/>
      <c r="X5" s="12"/>
      <c r="Y5" s="12"/>
      <c r="Z5" s="12"/>
      <c r="AA5" s="35"/>
      <c r="AB5" s="86"/>
      <c r="AC5" s="86"/>
    </row>
    <row r="6" ht="38.25" customHeight="1">
      <c r="A6" s="12"/>
      <c r="B6" s="31"/>
      <c r="C6" s="40" t="s">
        <v>29</v>
      </c>
      <c r="D6" s="4"/>
      <c r="E6" s="4"/>
      <c r="F6" s="4"/>
      <c r="G6" s="4"/>
      <c r="H6" s="5"/>
      <c r="I6" s="35"/>
      <c r="J6" s="12"/>
      <c r="K6" s="31"/>
      <c r="L6" s="40" t="s">
        <v>29</v>
      </c>
      <c r="M6" s="4"/>
      <c r="N6" s="4"/>
      <c r="O6" s="4"/>
      <c r="P6" s="4"/>
      <c r="Q6" s="5"/>
      <c r="R6" s="35"/>
      <c r="S6" s="12"/>
      <c r="T6" s="31"/>
      <c r="U6" s="40" t="s">
        <v>29</v>
      </c>
      <c r="V6" s="4"/>
      <c r="W6" s="4"/>
      <c r="X6" s="4"/>
      <c r="Y6" s="4"/>
      <c r="Z6" s="5"/>
      <c r="AA6" s="35"/>
      <c r="AB6" s="86"/>
      <c r="AC6" s="86"/>
    </row>
    <row r="7" ht="36.0" customHeight="1">
      <c r="A7" s="12"/>
      <c r="B7" s="31"/>
      <c r="C7" s="98" t="s">
        <v>30</v>
      </c>
      <c r="D7" s="99" t="s">
        <v>31</v>
      </c>
      <c r="E7" s="99" t="s">
        <v>32</v>
      </c>
      <c r="F7" s="100" t="s">
        <v>35</v>
      </c>
      <c r="G7" s="33"/>
      <c r="H7" s="34"/>
      <c r="I7" s="35"/>
      <c r="J7" s="12"/>
      <c r="K7" s="31"/>
      <c r="L7" s="46" t="s">
        <v>30</v>
      </c>
      <c r="M7" s="42" t="s">
        <v>31</v>
      </c>
      <c r="N7" s="42" t="s">
        <v>32</v>
      </c>
      <c r="O7" s="43" t="s">
        <v>33</v>
      </c>
      <c r="P7" s="42" t="s">
        <v>38</v>
      </c>
      <c r="Q7" s="42" t="s">
        <v>35</v>
      </c>
      <c r="R7" s="35"/>
      <c r="S7" s="12"/>
      <c r="T7" s="31"/>
      <c r="U7" s="46" t="s">
        <v>30</v>
      </c>
      <c r="V7" s="42" t="s">
        <v>31</v>
      </c>
      <c r="W7" s="42" t="s">
        <v>32</v>
      </c>
      <c r="X7" s="43" t="s">
        <v>33</v>
      </c>
      <c r="Y7" s="42" t="s">
        <v>38</v>
      </c>
      <c r="Z7" s="42" t="s">
        <v>35</v>
      </c>
      <c r="AA7" s="35"/>
      <c r="AB7" s="86"/>
      <c r="AC7" s="86"/>
    </row>
    <row r="8" ht="14.25" customHeight="1">
      <c r="A8" s="12"/>
      <c r="B8" s="101"/>
      <c r="C8" s="55">
        <f>+'Incre IPC 2025'!E3</f>
        <v>2210000</v>
      </c>
      <c r="D8" s="104">
        <v>1.0</v>
      </c>
      <c r="E8" s="105">
        <v>0.55</v>
      </c>
      <c r="F8" s="106">
        <f>C8-(C8*E8)</f>
        <v>994500</v>
      </c>
      <c r="G8" s="33"/>
      <c r="H8" s="34"/>
      <c r="I8" s="107"/>
      <c r="J8" s="12"/>
      <c r="K8" s="31"/>
      <c r="L8" s="55">
        <f>+$C$8</f>
        <v>2210000</v>
      </c>
      <c r="M8" s="48">
        <v>1.0</v>
      </c>
      <c r="N8" s="109">
        <v>0.55</v>
      </c>
      <c r="O8" s="51">
        <v>0.0</v>
      </c>
      <c r="P8" s="51">
        <f>Q8/M8</f>
        <v>994500</v>
      </c>
      <c r="Q8" s="51">
        <f>L8-(N8*L8)</f>
        <v>994500</v>
      </c>
      <c r="R8" s="35"/>
      <c r="S8" s="12"/>
      <c r="T8" s="31"/>
      <c r="U8" s="55">
        <f>+$C$8</f>
        <v>2210000</v>
      </c>
      <c r="V8" s="48">
        <v>1.0</v>
      </c>
      <c r="W8" s="114">
        <v>0.6</v>
      </c>
      <c r="X8" s="51">
        <v>0.0</v>
      </c>
      <c r="Y8" s="51">
        <f>Z8/V8</f>
        <v>884000</v>
      </c>
      <c r="Z8" s="51">
        <f>U8-(W8*U8)</f>
        <v>884000</v>
      </c>
      <c r="AA8" s="35"/>
      <c r="AB8" s="86"/>
      <c r="AC8" s="86"/>
    </row>
    <row r="9" ht="14.25" customHeight="1">
      <c r="A9" s="12"/>
      <c r="B9" s="101"/>
      <c r="C9" s="58"/>
      <c r="D9" s="58"/>
      <c r="E9" s="58"/>
      <c r="F9" s="37"/>
      <c r="G9" s="38"/>
      <c r="H9" s="39"/>
      <c r="I9" s="107"/>
      <c r="J9" s="12"/>
      <c r="K9" s="31"/>
      <c r="L9" s="58"/>
      <c r="M9" s="48">
        <v>2.0</v>
      </c>
      <c r="N9" s="109">
        <v>0.5</v>
      </c>
      <c r="O9" s="51">
        <f>Q9/M9</f>
        <v>552500</v>
      </c>
      <c r="P9" s="51">
        <f>(Q9-O9)/(M9-1)</f>
        <v>552500</v>
      </c>
      <c r="Q9" s="51">
        <f>L8-(N9*L8)</f>
        <v>1105000</v>
      </c>
      <c r="R9" s="35"/>
      <c r="S9" s="12"/>
      <c r="T9" s="31"/>
      <c r="U9" s="58"/>
      <c r="V9" s="48">
        <v>2.0</v>
      </c>
      <c r="W9" s="109">
        <v>0.55</v>
      </c>
      <c r="X9" s="51">
        <f>Z9/V9</f>
        <v>497250</v>
      </c>
      <c r="Y9" s="51">
        <f>(Z9-X9)/(V9-1)</f>
        <v>497250</v>
      </c>
      <c r="Z9" s="51">
        <f>U8-(W9*U8)</f>
        <v>994500</v>
      </c>
      <c r="AA9" s="35"/>
      <c r="AB9" s="86"/>
      <c r="AC9" s="86"/>
    </row>
    <row r="10" ht="14.25" customHeight="1">
      <c r="A10" s="12"/>
      <c r="B10" s="31"/>
      <c r="C10" s="130"/>
      <c r="D10" s="130"/>
      <c r="E10" s="130"/>
      <c r="F10" s="130"/>
      <c r="G10" s="131"/>
      <c r="H10" s="130"/>
      <c r="I10" s="35"/>
      <c r="J10" s="12"/>
      <c r="K10" s="31"/>
      <c r="L10" s="12"/>
      <c r="M10" s="12"/>
      <c r="N10" s="12"/>
      <c r="O10" s="12"/>
      <c r="P10" s="12"/>
      <c r="Q10" s="12"/>
      <c r="R10" s="35"/>
      <c r="S10" s="12"/>
      <c r="T10" s="31"/>
      <c r="U10" s="12"/>
      <c r="V10" s="12"/>
      <c r="W10" s="12"/>
      <c r="X10" s="12"/>
      <c r="Y10" s="12"/>
      <c r="Z10" s="12"/>
      <c r="AA10" s="35"/>
      <c r="AB10" s="86"/>
      <c r="AC10" s="86"/>
    </row>
    <row r="11" ht="33.75" customHeight="1">
      <c r="A11" s="12"/>
      <c r="B11" s="31"/>
      <c r="C11" s="40" t="s">
        <v>45</v>
      </c>
      <c r="D11" s="4"/>
      <c r="E11" s="4"/>
      <c r="F11" s="4"/>
      <c r="G11" s="4"/>
      <c r="H11" s="5"/>
      <c r="I11" s="35"/>
      <c r="J11" s="12"/>
      <c r="K11" s="31"/>
      <c r="L11" s="40" t="s">
        <v>45</v>
      </c>
      <c r="M11" s="4"/>
      <c r="N11" s="4"/>
      <c r="O11" s="4"/>
      <c r="P11" s="4"/>
      <c r="Q11" s="5"/>
      <c r="R11" s="35"/>
      <c r="S11" s="12"/>
      <c r="T11" s="31"/>
      <c r="U11" s="40" t="s">
        <v>45</v>
      </c>
      <c r="V11" s="4"/>
      <c r="W11" s="4"/>
      <c r="X11" s="4"/>
      <c r="Y11" s="4"/>
      <c r="Z11" s="5"/>
      <c r="AA11" s="35"/>
      <c r="AB11" s="86"/>
      <c r="AC11" s="86"/>
    </row>
    <row r="12" ht="36.0" customHeight="1">
      <c r="A12" s="12"/>
      <c r="B12" s="31"/>
      <c r="C12" s="46" t="s">
        <v>30</v>
      </c>
      <c r="D12" s="42" t="s">
        <v>31</v>
      </c>
      <c r="E12" s="42" t="s">
        <v>32</v>
      </c>
      <c r="F12" s="134" t="s">
        <v>35</v>
      </c>
      <c r="G12" s="135"/>
      <c r="H12" s="136"/>
      <c r="I12" s="35"/>
      <c r="J12" s="12"/>
      <c r="K12" s="31"/>
      <c r="L12" s="46" t="s">
        <v>30</v>
      </c>
      <c r="M12" s="42" t="s">
        <v>31</v>
      </c>
      <c r="N12" s="42" t="s">
        <v>32</v>
      </c>
      <c r="O12" s="43" t="s">
        <v>33</v>
      </c>
      <c r="P12" s="42" t="s">
        <v>68</v>
      </c>
      <c r="Q12" s="42" t="s">
        <v>35</v>
      </c>
      <c r="R12" s="35"/>
      <c r="S12" s="12"/>
      <c r="T12" s="31"/>
      <c r="U12" s="46" t="s">
        <v>30</v>
      </c>
      <c r="V12" s="42" t="s">
        <v>31</v>
      </c>
      <c r="W12" s="42" t="s">
        <v>32</v>
      </c>
      <c r="X12" s="43" t="s">
        <v>33</v>
      </c>
      <c r="Y12" s="42" t="s">
        <v>68</v>
      </c>
      <c r="Z12" s="42" t="s">
        <v>35</v>
      </c>
      <c r="AA12" s="35"/>
      <c r="AB12" s="86"/>
      <c r="AC12" s="86"/>
    </row>
    <row r="13" ht="14.25" customHeight="1">
      <c r="A13" s="12"/>
      <c r="B13" s="31"/>
      <c r="C13" s="55">
        <f>+'Incre IPC 2025'!E4</f>
        <v>3314000</v>
      </c>
      <c r="D13" s="104">
        <v>1.0</v>
      </c>
      <c r="E13" s="137">
        <v>0.63</v>
      </c>
      <c r="F13" s="106">
        <f>C13-(C13*E13)</f>
        <v>1226180</v>
      </c>
      <c r="G13" s="33"/>
      <c r="H13" s="34"/>
      <c r="I13" s="35"/>
      <c r="J13" s="12"/>
      <c r="K13" s="31"/>
      <c r="L13" s="55">
        <f>+$C$13</f>
        <v>3314000</v>
      </c>
      <c r="M13" s="48">
        <f>D13</f>
        <v>1</v>
      </c>
      <c r="N13" s="109">
        <v>0.63</v>
      </c>
      <c r="O13" s="51">
        <f t="shared" ref="O13:O15" si="1">Q13/M13</f>
        <v>1226180</v>
      </c>
      <c r="P13" s="51" t="s">
        <v>69</v>
      </c>
      <c r="Q13" s="51">
        <f>L13-(L13*N13)</f>
        <v>1226180</v>
      </c>
      <c r="R13" s="35"/>
      <c r="S13" s="12"/>
      <c r="T13" s="31"/>
      <c r="U13" s="55">
        <f>+$C$13</f>
        <v>3314000</v>
      </c>
      <c r="V13" s="48">
        <f>M13</f>
        <v>1</v>
      </c>
      <c r="W13" s="114">
        <v>0.68</v>
      </c>
      <c r="X13" s="51">
        <f t="shared" ref="X13:X15" si="2">Z13/V13</f>
        <v>1060480</v>
      </c>
      <c r="Y13" s="51" t="s">
        <v>69</v>
      </c>
      <c r="Z13" s="51">
        <f>U13-(U13*W13)</f>
        <v>1060480</v>
      </c>
      <c r="AA13" s="35"/>
      <c r="AB13" s="86"/>
      <c r="AC13" s="86"/>
    </row>
    <row r="14" ht="14.25" customHeight="1">
      <c r="A14" s="12"/>
      <c r="B14" s="31"/>
      <c r="C14" s="142"/>
      <c r="D14" s="142"/>
      <c r="E14" s="142"/>
      <c r="F14" s="91"/>
      <c r="H14" s="143"/>
      <c r="I14" s="35"/>
      <c r="J14" s="12"/>
      <c r="K14" s="31"/>
      <c r="L14" s="142"/>
      <c r="M14" s="48">
        <v>3.0</v>
      </c>
      <c r="N14" s="109">
        <v>0.55</v>
      </c>
      <c r="O14" s="51">
        <f t="shared" si="1"/>
        <v>497100</v>
      </c>
      <c r="P14" s="51">
        <f>(Q14-O14)/3</f>
        <v>331400</v>
      </c>
      <c r="Q14" s="51">
        <f>L13-(N14*L13)</f>
        <v>1491300</v>
      </c>
      <c r="R14" s="35"/>
      <c r="S14" s="12"/>
      <c r="T14" s="31"/>
      <c r="U14" s="142"/>
      <c r="V14" s="48">
        <v>3.0</v>
      </c>
      <c r="W14" s="109">
        <v>0.6</v>
      </c>
      <c r="X14" s="51">
        <f t="shared" si="2"/>
        <v>441866.6667</v>
      </c>
      <c r="Y14" s="51">
        <f>(Z14-X14)/2</f>
        <v>441866.6667</v>
      </c>
      <c r="Z14" s="51">
        <f>U13-(W14*U13)</f>
        <v>1325600</v>
      </c>
      <c r="AA14" s="35"/>
      <c r="AB14" s="86"/>
      <c r="AC14" s="86"/>
    </row>
    <row r="15" ht="14.25" customHeight="1">
      <c r="A15" s="12"/>
      <c r="B15" s="31"/>
      <c r="C15" s="58"/>
      <c r="D15" s="58"/>
      <c r="E15" s="58"/>
      <c r="F15" s="37"/>
      <c r="G15" s="38"/>
      <c r="H15" s="39"/>
      <c r="I15" s="35"/>
      <c r="J15" s="12"/>
      <c r="K15" s="31"/>
      <c r="L15" s="58"/>
      <c r="M15" s="48">
        <v>5.0</v>
      </c>
      <c r="N15" s="109">
        <v>0.45</v>
      </c>
      <c r="O15" s="51">
        <f t="shared" si="1"/>
        <v>364540</v>
      </c>
      <c r="P15" s="51">
        <f>(Q15-O15)/4</f>
        <v>364540</v>
      </c>
      <c r="Q15" s="51">
        <f>L13-(N15*L13)</f>
        <v>1822700</v>
      </c>
      <c r="R15" s="35"/>
      <c r="S15" s="12"/>
      <c r="T15" s="31"/>
      <c r="U15" s="58"/>
      <c r="V15" s="48">
        <v>5.0</v>
      </c>
      <c r="W15" s="109">
        <v>0.5</v>
      </c>
      <c r="X15" s="51">
        <f t="shared" si="2"/>
        <v>331400</v>
      </c>
      <c r="Y15" s="51">
        <f>(Z15-X15)/4</f>
        <v>331400</v>
      </c>
      <c r="Z15" s="51">
        <f>U13-(W15*U13)</f>
        <v>1657000</v>
      </c>
      <c r="AA15" s="35"/>
      <c r="AB15" s="86"/>
      <c r="AC15" s="86"/>
    </row>
    <row r="16" ht="14.25" customHeight="1">
      <c r="A16" s="12"/>
      <c r="B16" s="31"/>
      <c r="C16" s="12"/>
      <c r="D16" s="12"/>
      <c r="E16" s="12"/>
      <c r="F16" s="12"/>
      <c r="G16" s="12"/>
      <c r="H16" s="12"/>
      <c r="I16" s="35"/>
      <c r="J16" s="12"/>
      <c r="K16" s="31"/>
      <c r="L16" s="12"/>
      <c r="M16" s="12"/>
      <c r="N16" s="12"/>
      <c r="O16" s="12"/>
      <c r="P16" s="12"/>
      <c r="Q16" s="12"/>
      <c r="R16" s="35"/>
      <c r="S16" s="12"/>
      <c r="T16" s="31"/>
      <c r="U16" s="12"/>
      <c r="V16" s="12"/>
      <c r="W16" s="12"/>
      <c r="X16" s="12"/>
      <c r="Y16" s="12"/>
      <c r="Z16" s="12"/>
      <c r="AA16" s="35"/>
      <c r="AB16" s="86"/>
      <c r="AC16" s="86"/>
    </row>
    <row r="17" ht="33.0" customHeight="1">
      <c r="A17" s="12"/>
      <c r="B17" s="31"/>
      <c r="C17" s="40" t="s">
        <v>47</v>
      </c>
      <c r="D17" s="4"/>
      <c r="E17" s="4"/>
      <c r="F17" s="4"/>
      <c r="G17" s="4"/>
      <c r="H17" s="5"/>
      <c r="I17" s="35"/>
      <c r="J17" s="12"/>
      <c r="K17" s="31"/>
      <c r="L17" s="40" t="s">
        <v>47</v>
      </c>
      <c r="M17" s="4"/>
      <c r="N17" s="4"/>
      <c r="O17" s="4"/>
      <c r="P17" s="4"/>
      <c r="Q17" s="5"/>
      <c r="R17" s="35"/>
      <c r="S17" s="12"/>
      <c r="T17" s="31"/>
      <c r="U17" s="40" t="s">
        <v>47</v>
      </c>
      <c r="V17" s="4"/>
      <c r="W17" s="4"/>
      <c r="X17" s="4"/>
      <c r="Y17" s="4"/>
      <c r="Z17" s="5"/>
      <c r="AA17" s="35"/>
      <c r="AB17" s="86"/>
      <c r="AC17" s="86"/>
    </row>
    <row r="18" ht="36.0" customHeight="1">
      <c r="A18" s="12"/>
      <c r="B18" s="31"/>
      <c r="C18" s="46" t="s">
        <v>30</v>
      </c>
      <c r="D18" s="42" t="s">
        <v>31</v>
      </c>
      <c r="E18" s="42" t="s">
        <v>32</v>
      </c>
      <c r="F18" s="43" t="s">
        <v>33</v>
      </c>
      <c r="G18" s="42" t="s">
        <v>38</v>
      </c>
      <c r="H18" s="42" t="s">
        <v>35</v>
      </c>
      <c r="I18" s="35"/>
      <c r="J18" s="12"/>
      <c r="K18" s="31"/>
      <c r="L18" s="46" t="s">
        <v>30</v>
      </c>
      <c r="M18" s="42" t="s">
        <v>31</v>
      </c>
      <c r="N18" s="42" t="s">
        <v>32</v>
      </c>
      <c r="O18" s="43" t="s">
        <v>33</v>
      </c>
      <c r="P18" s="42" t="s">
        <v>68</v>
      </c>
      <c r="Q18" s="42" t="s">
        <v>35</v>
      </c>
      <c r="R18" s="35"/>
      <c r="S18" s="12"/>
      <c r="T18" s="31"/>
      <c r="U18" s="46" t="s">
        <v>30</v>
      </c>
      <c r="V18" s="42" t="s">
        <v>31</v>
      </c>
      <c r="W18" s="42" t="s">
        <v>32</v>
      </c>
      <c r="X18" s="43" t="s">
        <v>33</v>
      </c>
      <c r="Y18" s="42" t="s">
        <v>68</v>
      </c>
      <c r="Z18" s="42" t="s">
        <v>35</v>
      </c>
      <c r="AA18" s="35"/>
      <c r="AB18" s="86"/>
      <c r="AC18" s="86"/>
    </row>
    <row r="19" ht="14.25" customHeight="1">
      <c r="A19" s="12"/>
      <c r="B19" s="31"/>
      <c r="C19" s="55">
        <f>+'Incre IPC 2025'!E5</f>
        <v>4419000</v>
      </c>
      <c r="D19" s="104">
        <v>1.0</v>
      </c>
      <c r="E19" s="105">
        <v>0.7</v>
      </c>
      <c r="F19" s="106">
        <f>C19-(C19*E19)</f>
        <v>1325700</v>
      </c>
      <c r="G19" s="33"/>
      <c r="H19" s="34"/>
      <c r="I19" s="35"/>
      <c r="J19" s="12"/>
      <c r="K19" s="31"/>
      <c r="L19" s="55">
        <f>+$C$19</f>
        <v>4419000</v>
      </c>
      <c r="M19" s="48">
        <f>D19</f>
        <v>1</v>
      </c>
      <c r="N19" s="114">
        <v>0.7</v>
      </c>
      <c r="O19" s="51">
        <v>0.0</v>
      </c>
      <c r="P19" s="51">
        <f>Q19/M19</f>
        <v>1325700</v>
      </c>
      <c r="Q19" s="51">
        <f>L19-(N19*L19)</f>
        <v>1325700</v>
      </c>
      <c r="R19" s="35"/>
      <c r="S19" s="12"/>
      <c r="T19" s="31"/>
      <c r="U19" s="55">
        <f>+$C$19</f>
        <v>4419000</v>
      </c>
      <c r="V19" s="48">
        <f>M19</f>
        <v>1</v>
      </c>
      <c r="W19" s="114">
        <v>0.75</v>
      </c>
      <c r="X19" s="51">
        <v>0.0</v>
      </c>
      <c r="Y19" s="51">
        <f>Z19/V19</f>
        <v>1104750</v>
      </c>
      <c r="Z19" s="51">
        <f>U19-(W19*U19)</f>
        <v>1104750</v>
      </c>
      <c r="AA19" s="35"/>
      <c r="AB19" s="86"/>
      <c r="AC19" s="86"/>
    </row>
    <row r="20" ht="14.25" customHeight="1">
      <c r="A20" s="12"/>
      <c r="B20" s="31"/>
      <c r="C20" s="142"/>
      <c r="D20" s="142"/>
      <c r="E20" s="142"/>
      <c r="F20" s="91"/>
      <c r="H20" s="143"/>
      <c r="I20" s="35"/>
      <c r="J20" s="12"/>
      <c r="K20" s="31"/>
      <c r="L20" s="142"/>
      <c r="M20" s="163">
        <v>3.0</v>
      </c>
      <c r="N20" s="114">
        <v>0.6</v>
      </c>
      <c r="O20" s="51">
        <f t="shared" ref="O20:O21" si="3">Q20/M20</f>
        <v>589200</v>
      </c>
      <c r="P20" s="51">
        <f>(Q20-O20)/2</f>
        <v>589200</v>
      </c>
      <c r="Q20" s="51">
        <f>L19-(N20*L19)</f>
        <v>1767600</v>
      </c>
      <c r="R20" s="35"/>
      <c r="S20" s="12"/>
      <c r="T20" s="31"/>
      <c r="U20" s="142"/>
      <c r="V20" s="48">
        <v>3.0</v>
      </c>
      <c r="W20" s="114">
        <v>0.65</v>
      </c>
      <c r="X20" s="51">
        <f t="shared" ref="X20:X21" si="4">Z20/V20</f>
        <v>515550</v>
      </c>
      <c r="Y20" s="51">
        <f>(Z20-X20)/2</f>
        <v>515550</v>
      </c>
      <c r="Z20" s="51">
        <f>U19-(W20*U19)</f>
        <v>1546650</v>
      </c>
      <c r="AA20" s="35"/>
      <c r="AB20" s="86"/>
      <c r="AC20" s="86"/>
    </row>
    <row r="21" ht="14.25" customHeight="1">
      <c r="A21" s="12"/>
      <c r="B21" s="31"/>
      <c r="C21" s="58"/>
      <c r="D21" s="58"/>
      <c r="E21" s="58"/>
      <c r="F21" s="37"/>
      <c r="G21" s="38"/>
      <c r="H21" s="39"/>
      <c r="I21" s="35"/>
      <c r="J21" s="12"/>
      <c r="K21" s="31"/>
      <c r="L21" s="58"/>
      <c r="M21" s="48">
        <v>5.0</v>
      </c>
      <c r="N21" s="114">
        <v>0.5</v>
      </c>
      <c r="O21" s="51">
        <f t="shared" si="3"/>
        <v>441900</v>
      </c>
      <c r="P21" s="51">
        <f>(Q21-O21)/4</f>
        <v>441900</v>
      </c>
      <c r="Q21" s="51">
        <f>L19-(N21*L19)</f>
        <v>2209500</v>
      </c>
      <c r="R21" s="35"/>
      <c r="S21" s="12"/>
      <c r="T21" s="31"/>
      <c r="U21" s="58"/>
      <c r="V21" s="48">
        <v>5.0</v>
      </c>
      <c r="W21" s="114">
        <v>0.55</v>
      </c>
      <c r="X21" s="51">
        <f t="shared" si="4"/>
        <v>397710</v>
      </c>
      <c r="Y21" s="51">
        <f>(Z21-X21)/4</f>
        <v>397710</v>
      </c>
      <c r="Z21" s="51">
        <f>U19-(W21*U19)</f>
        <v>1988550</v>
      </c>
      <c r="AA21" s="35"/>
      <c r="AB21" s="86"/>
      <c r="AC21" s="86"/>
    </row>
    <row r="22" ht="14.25" customHeight="1">
      <c r="A22" s="12"/>
      <c r="B22" s="75"/>
      <c r="C22" s="76"/>
      <c r="D22" s="76"/>
      <c r="E22" s="76"/>
      <c r="F22" s="76"/>
      <c r="G22" s="77"/>
      <c r="H22" s="76"/>
      <c r="I22" s="79"/>
      <c r="J22" s="12"/>
      <c r="K22" s="75"/>
      <c r="L22" s="76"/>
      <c r="M22" s="76"/>
      <c r="N22" s="76"/>
      <c r="O22" s="76"/>
      <c r="P22" s="76"/>
      <c r="Q22" s="76"/>
      <c r="R22" s="79"/>
      <c r="S22" s="12"/>
      <c r="T22" s="75"/>
      <c r="U22" s="76"/>
      <c r="V22" s="76"/>
      <c r="W22" s="76"/>
      <c r="X22" s="76"/>
      <c r="Y22" s="76"/>
      <c r="Z22" s="76"/>
      <c r="AA22" s="79"/>
      <c r="AB22" s="86"/>
      <c r="AC22" s="86"/>
    </row>
    <row r="23" ht="14.25" customHeight="1">
      <c r="A23" s="12"/>
      <c r="B23" s="164" t="s">
        <v>87</v>
      </c>
      <c r="C23" s="165"/>
      <c r="D23" s="165"/>
      <c r="E23" s="165"/>
      <c r="F23" s="165"/>
      <c r="G23" s="165"/>
      <c r="H23" s="165"/>
      <c r="I23" s="165"/>
      <c r="J23" s="165"/>
      <c r="K23" s="12"/>
      <c r="L23" s="12"/>
      <c r="M23" s="12"/>
      <c r="N23" s="12"/>
      <c r="O23" s="12"/>
      <c r="P23" s="12"/>
      <c r="Q23" s="12"/>
      <c r="R23" s="12"/>
      <c r="S23" s="166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14.25" customHeight="1">
      <c r="B24" s="167"/>
      <c r="K24" s="84"/>
      <c r="L24" s="84"/>
      <c r="M24" s="84"/>
      <c r="N24" s="84"/>
      <c r="O24" s="10"/>
      <c r="P24" s="84"/>
      <c r="Q24" s="10"/>
      <c r="R24" s="84"/>
      <c r="S24" s="166"/>
      <c r="T24" s="84"/>
      <c r="U24" s="84"/>
      <c r="V24" s="84"/>
      <c r="W24" s="84"/>
      <c r="X24" s="10"/>
      <c r="Y24" s="84"/>
      <c r="Z24" s="10"/>
      <c r="AA24" s="84"/>
    </row>
    <row r="25" ht="14.25" customHeight="1">
      <c r="B25" s="167"/>
      <c r="K25" s="84"/>
      <c r="L25" s="84"/>
      <c r="M25" s="84"/>
      <c r="N25" s="84"/>
      <c r="O25" s="168"/>
      <c r="P25" s="169"/>
      <c r="Q25" s="84"/>
      <c r="R25" s="84"/>
      <c r="S25" s="166"/>
      <c r="T25" s="84"/>
      <c r="U25" s="84"/>
      <c r="V25" s="84"/>
      <c r="W25" s="84"/>
      <c r="X25" s="168"/>
      <c r="Y25" s="169"/>
      <c r="Z25" s="84"/>
      <c r="AA25" s="84"/>
    </row>
    <row r="26" ht="14.25" customHeight="1">
      <c r="B26" s="167"/>
      <c r="K26" s="84"/>
      <c r="L26" s="84"/>
      <c r="M26" s="84"/>
      <c r="N26" s="84"/>
      <c r="O26" s="168"/>
      <c r="P26" s="169"/>
      <c r="Q26" s="84"/>
      <c r="R26" s="84"/>
      <c r="S26" s="166"/>
      <c r="T26" s="84"/>
      <c r="U26" s="84"/>
      <c r="V26" s="84"/>
      <c r="W26" s="84"/>
      <c r="X26" s="168"/>
      <c r="Y26" s="169"/>
      <c r="Z26" s="10"/>
      <c r="AA26" s="84"/>
    </row>
    <row r="27" ht="24.75" customHeight="1">
      <c r="B27" s="167"/>
      <c r="K27" s="84"/>
      <c r="L27" s="84"/>
      <c r="M27" s="84"/>
      <c r="N27" s="84">
        <v>3350.0</v>
      </c>
      <c r="O27" s="168"/>
      <c r="P27" s="169"/>
      <c r="Q27" s="84"/>
      <c r="R27" s="84"/>
      <c r="S27" s="166"/>
      <c r="T27" s="84"/>
      <c r="U27" s="84"/>
      <c r="V27" s="84"/>
      <c r="W27" s="84"/>
      <c r="X27" s="168"/>
      <c r="Y27" s="169"/>
      <c r="Z27" s="84"/>
      <c r="AA27" s="84"/>
    </row>
    <row r="28" ht="14.25" customHeight="1">
      <c r="K28" s="84"/>
      <c r="L28" s="84"/>
      <c r="M28" s="84"/>
      <c r="N28" s="84">
        <f>F19/N27</f>
        <v>395.7313433</v>
      </c>
      <c r="O28" s="168"/>
      <c r="P28" s="169"/>
      <c r="Q28" s="84"/>
      <c r="R28" s="84"/>
      <c r="S28" s="166"/>
      <c r="T28" s="84"/>
      <c r="U28" s="84"/>
      <c r="V28" s="84"/>
      <c r="W28" s="84"/>
      <c r="X28" s="168"/>
      <c r="Y28" s="169"/>
      <c r="Z28" s="10"/>
      <c r="AA28" s="84"/>
    </row>
    <row r="29" ht="14.25" customHeight="1">
      <c r="K29" s="84"/>
      <c r="L29" s="84"/>
      <c r="M29" s="84"/>
      <c r="N29" s="84"/>
      <c r="O29" s="168"/>
      <c r="P29" s="169"/>
      <c r="Q29" s="84"/>
      <c r="R29" s="84"/>
      <c r="S29" s="166"/>
      <c r="T29" s="84"/>
      <c r="U29" s="84"/>
      <c r="V29" s="84"/>
      <c r="W29" s="84"/>
      <c r="X29" s="168"/>
      <c r="Y29" s="169"/>
      <c r="Z29" s="84"/>
      <c r="AA29" s="84"/>
    </row>
    <row r="30" ht="14.25" customHeight="1">
      <c r="C30" s="170" t="s">
        <v>88</v>
      </c>
      <c r="D30" s="4"/>
      <c r="E30" s="4"/>
      <c r="F30" s="4"/>
      <c r="G30" s="4"/>
      <c r="H30" s="4"/>
      <c r="I30" s="4"/>
      <c r="J30" s="5"/>
      <c r="K30" s="84"/>
      <c r="L30" s="84"/>
      <c r="M30" s="84"/>
      <c r="N30" s="84"/>
      <c r="O30" s="168"/>
      <c r="P30" s="169"/>
      <c r="Q30" s="84"/>
      <c r="R30" s="84"/>
      <c r="S30" s="166"/>
      <c r="T30" s="84"/>
      <c r="U30" s="84"/>
      <c r="V30" s="84"/>
      <c r="W30" s="84"/>
      <c r="X30" s="168"/>
      <c r="Y30" s="169"/>
      <c r="Z30" s="10"/>
      <c r="AA30" s="84"/>
    </row>
    <row r="31" ht="14.25" customHeight="1">
      <c r="C31" s="171" t="s">
        <v>89</v>
      </c>
      <c r="D31" s="172"/>
      <c r="E31" s="172"/>
      <c r="F31" s="173" t="s">
        <v>90</v>
      </c>
      <c r="G31" s="172"/>
      <c r="H31" s="173" t="s">
        <v>91</v>
      </c>
      <c r="I31" s="33"/>
      <c r="J31" s="34"/>
      <c r="K31" s="84"/>
      <c r="L31" s="84"/>
      <c r="M31" s="84"/>
      <c r="N31" s="84">
        <v>660.0</v>
      </c>
      <c r="O31" s="84"/>
      <c r="P31" s="84"/>
      <c r="Q31" s="84"/>
      <c r="R31" s="84"/>
      <c r="S31" s="84"/>
      <c r="T31" s="84"/>
      <c r="U31" s="84"/>
      <c r="V31" s="84"/>
      <c r="W31" s="84"/>
      <c r="X31" s="168"/>
      <c r="Y31" s="84"/>
      <c r="Z31" s="84"/>
      <c r="AA31" s="84"/>
    </row>
    <row r="32" ht="14.25" customHeight="1">
      <c r="C32" s="174" t="s">
        <v>92</v>
      </c>
      <c r="D32" s="175"/>
      <c r="E32" s="175"/>
      <c r="F32" s="176" t="s">
        <v>90</v>
      </c>
      <c r="G32" s="175"/>
      <c r="J32" s="143"/>
      <c r="K32" s="84"/>
      <c r="L32" s="84"/>
      <c r="M32" s="84"/>
      <c r="N32" s="84">
        <f>N27*N31</f>
        <v>2211000</v>
      </c>
      <c r="O32" s="84"/>
      <c r="P32" s="84"/>
      <c r="Q32" s="84"/>
      <c r="R32" s="84"/>
      <c r="S32" s="84"/>
      <c r="T32" s="84"/>
      <c r="U32" s="84"/>
      <c r="V32" s="84"/>
      <c r="W32" s="84"/>
      <c r="X32" s="168"/>
      <c r="Y32" s="84"/>
      <c r="Z32" s="84"/>
      <c r="AA32" s="84"/>
    </row>
    <row r="33" ht="14.25" customHeight="1">
      <c r="C33" s="177" t="s">
        <v>93</v>
      </c>
      <c r="D33" s="178"/>
      <c r="E33" s="178"/>
      <c r="F33" s="179" t="s">
        <v>94</v>
      </c>
      <c r="G33" s="178"/>
      <c r="H33" s="38"/>
      <c r="I33" s="38"/>
      <c r="J33" s="39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168"/>
      <c r="Y33" s="84"/>
      <c r="Z33" s="84"/>
      <c r="AA33" s="84"/>
    </row>
    <row r="34" ht="14.25" customHeight="1"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</row>
    <row r="35" ht="14.25" customHeight="1">
      <c r="C35" s="180"/>
      <c r="D35" s="181" t="s">
        <v>95</v>
      </c>
      <c r="E35" s="182" t="s">
        <v>96</v>
      </c>
      <c r="F35" s="180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</row>
    <row r="36" ht="14.25" customHeight="1">
      <c r="C36" s="180"/>
      <c r="D36" s="181" t="s">
        <v>97</v>
      </c>
      <c r="E36" s="183" t="s">
        <v>98</v>
      </c>
      <c r="F36" s="180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</row>
    <row r="37" ht="14.25" customHeight="1">
      <c r="C37" s="180"/>
      <c r="D37" s="180"/>
      <c r="E37" s="180"/>
      <c r="F37" s="180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</row>
    <row r="38" ht="14.25" customHeight="1">
      <c r="C38" s="180"/>
      <c r="D38" s="184" t="s">
        <v>99</v>
      </c>
      <c r="E38" s="183" t="s">
        <v>100</v>
      </c>
      <c r="F38" s="180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</row>
    <row r="39" ht="14.25" customHeight="1">
      <c r="C39" s="180"/>
      <c r="D39" s="181" t="s">
        <v>101</v>
      </c>
      <c r="E39" s="183" t="s">
        <v>102</v>
      </c>
      <c r="F39" s="180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</row>
    <row r="40" ht="14.25" customHeight="1">
      <c r="C40" s="180"/>
      <c r="D40" s="180"/>
      <c r="E40" s="180"/>
      <c r="F40" s="180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</row>
    <row r="41" ht="14.25" customHeight="1">
      <c r="C41" s="180"/>
      <c r="D41" s="185" t="s">
        <v>103</v>
      </c>
      <c r="E41" s="185" t="s">
        <v>104</v>
      </c>
      <c r="F41" s="180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</row>
    <row r="42" ht="14.25" customHeight="1">
      <c r="C42" s="180"/>
      <c r="D42" s="180"/>
      <c r="E42" s="180"/>
      <c r="F42" s="180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</row>
    <row r="43" ht="14.25" customHeight="1"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</row>
    <row r="44" ht="14.25" customHeight="1"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</row>
    <row r="45" ht="14.25" customHeight="1"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</row>
    <row r="46" ht="14.25" customHeight="1"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</row>
    <row r="47" ht="14.25" customHeight="1"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</row>
    <row r="48" ht="14.25" customHeight="1"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</row>
    <row r="49" ht="14.25" customHeight="1"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</row>
    <row r="50" ht="14.25" customHeight="1"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</row>
    <row r="51" ht="14.25" customHeight="1"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</row>
    <row r="52" ht="14.25" customHeight="1"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</row>
    <row r="53" ht="14.25" customHeight="1"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</row>
    <row r="54" ht="14.25" customHeight="1"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</row>
    <row r="55" ht="14.25" customHeight="1"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</row>
    <row r="56" ht="14.25" customHeight="1"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</row>
    <row r="57" ht="14.25" customHeight="1"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</row>
    <row r="58" ht="14.25" customHeight="1"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</row>
    <row r="59" ht="14.25" customHeight="1"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</row>
    <row r="60" ht="14.25" customHeight="1"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</row>
    <row r="61" ht="14.25" customHeight="1"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</row>
    <row r="62" ht="14.25" customHeight="1"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</row>
    <row r="63" ht="14.25" customHeight="1"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</row>
    <row r="64" ht="14.25" customHeight="1"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</row>
    <row r="65" ht="14.25" customHeight="1"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</row>
    <row r="66" ht="14.25" customHeight="1"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</row>
    <row r="67" ht="14.25" customHeight="1"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</row>
    <row r="68" ht="14.25" customHeight="1"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</row>
    <row r="69" ht="14.25" customHeight="1"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</row>
    <row r="70" ht="14.25" customHeight="1"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</row>
    <row r="71" ht="14.25" customHeight="1"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</row>
    <row r="72" ht="14.25" customHeight="1"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</row>
    <row r="73" ht="14.25" customHeight="1"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</row>
    <row r="74" ht="14.25" customHeight="1"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</row>
    <row r="75" ht="14.25" customHeight="1"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</row>
    <row r="76" ht="14.25" customHeight="1"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</row>
    <row r="77" ht="14.25" customHeight="1"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</row>
    <row r="78" ht="14.25" customHeight="1"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</row>
    <row r="79" ht="14.25" customHeight="1"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</row>
    <row r="80" ht="14.25" customHeight="1"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</row>
    <row r="81" ht="14.25" customHeight="1"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</row>
    <row r="82" ht="14.25" customHeight="1"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</row>
    <row r="83" ht="14.25" customHeight="1"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</row>
    <row r="84" ht="14.25" customHeight="1"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</row>
    <row r="85" ht="14.25" customHeight="1"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</row>
    <row r="86" ht="14.25" customHeight="1"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</row>
    <row r="87" ht="14.25" customHeight="1"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</row>
    <row r="88" ht="14.25" customHeight="1"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</row>
    <row r="89" ht="14.25" customHeight="1"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</row>
    <row r="90" ht="14.25" customHeight="1"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</row>
    <row r="91" ht="14.25" customHeight="1"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</row>
    <row r="92" ht="14.25" customHeight="1"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</row>
    <row r="93" ht="14.25" customHeight="1"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</row>
    <row r="94" ht="14.25" customHeight="1"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</row>
    <row r="95" ht="14.25" customHeight="1"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</row>
    <row r="96" ht="14.25" customHeight="1"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</row>
    <row r="97" ht="14.25" customHeight="1"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</row>
    <row r="98" ht="14.25" customHeight="1"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</row>
    <row r="99" ht="14.25" customHeight="1"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</row>
    <row r="100" ht="14.25" customHeight="1"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</row>
    <row r="101" ht="14.25" customHeight="1"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</row>
    <row r="102" ht="14.25" customHeight="1"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</row>
    <row r="103" ht="14.25" customHeight="1"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</row>
    <row r="104" ht="14.25" customHeight="1"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</row>
    <row r="105" ht="14.25" customHeight="1"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</row>
    <row r="106" ht="14.25" customHeight="1"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</row>
    <row r="107" ht="14.25" customHeight="1"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</row>
    <row r="108" ht="14.25" customHeight="1"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</row>
    <row r="109" ht="14.25" customHeight="1"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</row>
    <row r="110" ht="14.25" customHeight="1"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</row>
    <row r="111" ht="14.25" customHeight="1"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</row>
    <row r="112" ht="14.25" customHeight="1"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</row>
    <row r="113" ht="14.25" customHeight="1"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</row>
    <row r="114" ht="14.25" customHeight="1"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</row>
    <row r="115" ht="14.25" customHeight="1"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</row>
    <row r="116" ht="14.25" customHeight="1"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</row>
    <row r="117" ht="14.25" customHeight="1"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</row>
    <row r="118" ht="14.25" customHeight="1"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</row>
    <row r="119" ht="14.25" customHeight="1"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</row>
    <row r="120" ht="14.25" customHeight="1"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</row>
    <row r="121" ht="14.25" customHeight="1"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</row>
    <row r="122" ht="14.25" customHeight="1"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</row>
    <row r="123" ht="14.25" customHeight="1"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</row>
    <row r="124" ht="14.25" customHeight="1"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</row>
    <row r="125" ht="14.25" customHeight="1"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</row>
    <row r="126" ht="14.25" customHeight="1"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</row>
    <row r="127" ht="14.25" customHeight="1"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</row>
    <row r="128" ht="14.25" customHeight="1"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</row>
    <row r="129" ht="14.25" customHeight="1"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</row>
    <row r="130" ht="14.25" customHeight="1"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</row>
    <row r="131" ht="14.25" customHeight="1"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</row>
    <row r="132" ht="14.25" customHeight="1"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</row>
    <row r="133" ht="14.25" customHeight="1"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</row>
    <row r="134" ht="14.25" customHeight="1"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</row>
    <row r="135" ht="14.25" customHeight="1"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</row>
    <row r="136" ht="14.25" customHeight="1"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</row>
    <row r="137" ht="14.25" customHeight="1"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</row>
    <row r="138" ht="14.25" customHeight="1"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</row>
    <row r="139" ht="14.25" customHeight="1"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</row>
    <row r="140" ht="14.25" customHeight="1"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</row>
    <row r="141" ht="14.25" customHeight="1"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</row>
    <row r="142" ht="14.25" customHeight="1"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</row>
    <row r="143" ht="14.25" customHeight="1"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</row>
    <row r="144" ht="14.25" customHeight="1"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</row>
    <row r="145" ht="14.25" customHeight="1"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</row>
    <row r="146" ht="14.25" customHeight="1"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</row>
    <row r="147" ht="14.25" customHeight="1"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</row>
    <row r="148" ht="14.25" customHeight="1"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</row>
    <row r="149" ht="14.25" customHeight="1"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</row>
    <row r="150" ht="14.25" customHeight="1"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</row>
    <row r="151" ht="14.25" customHeight="1"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</row>
    <row r="152" ht="14.25" customHeight="1"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</row>
    <row r="153" ht="14.25" customHeight="1"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</row>
    <row r="154" ht="14.25" customHeight="1"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</row>
    <row r="155" ht="14.25" customHeight="1"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</row>
    <row r="156" ht="14.25" customHeight="1"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</row>
    <row r="157" ht="14.25" customHeight="1"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</row>
    <row r="158" ht="14.25" customHeight="1"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</row>
    <row r="159" ht="14.25" customHeight="1"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</row>
    <row r="160" ht="14.25" customHeight="1"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</row>
    <row r="161" ht="14.25" customHeight="1"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</row>
    <row r="162" ht="14.25" customHeight="1"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</row>
    <row r="163" ht="14.25" customHeight="1"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</row>
    <row r="164" ht="14.25" customHeight="1"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</row>
    <row r="165" ht="14.25" customHeight="1"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</row>
    <row r="166" ht="14.25" customHeight="1"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</row>
    <row r="167" ht="14.25" customHeight="1"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</row>
    <row r="168" ht="14.25" customHeight="1"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</row>
    <row r="169" ht="14.25" customHeight="1"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</row>
    <row r="170" ht="14.25" customHeight="1"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</row>
    <row r="171" ht="14.25" customHeight="1"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</row>
    <row r="172" ht="14.25" customHeight="1"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</row>
    <row r="173" ht="14.25" customHeight="1"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</row>
    <row r="174" ht="14.25" customHeight="1"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</row>
    <row r="175" ht="14.25" customHeight="1"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</row>
    <row r="176" ht="14.25" customHeight="1"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</row>
    <row r="177" ht="14.25" customHeight="1"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</row>
    <row r="178" ht="14.25" customHeight="1"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</row>
    <row r="179" ht="14.25" customHeight="1"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</row>
    <row r="180" ht="14.25" customHeight="1"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</row>
    <row r="181" ht="14.25" customHeight="1"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</row>
    <row r="182" ht="14.25" customHeight="1"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</row>
    <row r="183" ht="14.25" customHeight="1"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</row>
    <row r="184" ht="14.25" customHeight="1"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</row>
    <row r="185" ht="14.25" customHeight="1"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</row>
    <row r="186" ht="14.25" customHeight="1"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</row>
    <row r="187" ht="14.25" customHeight="1"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</row>
    <row r="188" ht="14.25" customHeight="1"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</row>
    <row r="189" ht="14.25" customHeight="1"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</row>
    <row r="190" ht="14.25" customHeight="1"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</row>
    <row r="191" ht="14.25" customHeight="1"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</row>
    <row r="192" ht="14.25" customHeight="1"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</row>
    <row r="193" ht="14.25" customHeight="1"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</row>
    <row r="194" ht="14.25" customHeight="1"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</row>
    <row r="195" ht="14.25" customHeight="1"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</row>
    <row r="196" ht="14.25" customHeight="1"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</row>
    <row r="197" ht="14.25" customHeight="1"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</row>
    <row r="198" ht="14.25" customHeight="1"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</row>
    <row r="199" ht="14.25" customHeight="1"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</row>
    <row r="200" ht="14.25" customHeight="1"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</row>
    <row r="201" ht="14.25" customHeight="1"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</row>
    <row r="202" ht="14.25" customHeight="1"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</row>
    <row r="203" ht="14.25" customHeight="1"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</row>
    <row r="204" ht="14.25" customHeight="1"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</row>
    <row r="205" ht="14.25" customHeight="1"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</row>
    <row r="206" ht="14.25" customHeight="1"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</row>
    <row r="207" ht="14.25" customHeight="1"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</row>
    <row r="208" ht="14.25" customHeight="1"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</row>
    <row r="209" ht="14.25" customHeight="1"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</row>
    <row r="210" ht="14.25" customHeight="1"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</row>
    <row r="211" ht="14.25" customHeight="1"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</row>
    <row r="212" ht="14.25" customHeight="1"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</row>
    <row r="213" ht="14.25" customHeight="1"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</row>
    <row r="214" ht="14.25" customHeight="1"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</row>
    <row r="215" ht="14.25" customHeight="1"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</row>
    <row r="216" ht="14.25" customHeight="1"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</row>
    <row r="217" ht="14.25" customHeight="1"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</row>
    <row r="218" ht="14.25" customHeight="1"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</row>
    <row r="219" ht="14.25" customHeight="1"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</row>
    <row r="220" ht="14.25" customHeight="1"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</row>
    <row r="221" ht="14.25" customHeight="1"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</row>
    <row r="222" ht="14.25" customHeight="1"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</row>
    <row r="223" ht="14.25" customHeight="1"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C3:H4"/>
    <mergeCell ref="L3:Q4"/>
    <mergeCell ref="U3:Z4"/>
    <mergeCell ref="C6:H6"/>
    <mergeCell ref="L6:Q6"/>
    <mergeCell ref="U6:Z6"/>
    <mergeCell ref="F7:H7"/>
    <mergeCell ref="L11:Q11"/>
    <mergeCell ref="U11:Z11"/>
    <mergeCell ref="U13:U15"/>
    <mergeCell ref="L17:Q17"/>
    <mergeCell ref="U17:Z17"/>
    <mergeCell ref="D8:D9"/>
    <mergeCell ref="E8:E9"/>
    <mergeCell ref="F8:H9"/>
    <mergeCell ref="L8:L9"/>
    <mergeCell ref="U8:U9"/>
    <mergeCell ref="C11:H11"/>
    <mergeCell ref="F12:H12"/>
    <mergeCell ref="C19:C21"/>
    <mergeCell ref="D19:D21"/>
    <mergeCell ref="E19:E21"/>
    <mergeCell ref="F19:H21"/>
    <mergeCell ref="L19:L21"/>
    <mergeCell ref="U19:U21"/>
    <mergeCell ref="B23:J27"/>
    <mergeCell ref="C30:J30"/>
    <mergeCell ref="H31:J33"/>
    <mergeCell ref="C8:C9"/>
    <mergeCell ref="C13:C15"/>
    <mergeCell ref="D13:D15"/>
    <mergeCell ref="E13:E15"/>
    <mergeCell ref="F13:H15"/>
    <mergeCell ref="L13:L15"/>
    <mergeCell ref="C17:H17"/>
  </mergeCells>
  <hyperlinks>
    <hyperlink r:id="rId1" ref="D35"/>
    <hyperlink r:id="rId2" ref="E35"/>
    <hyperlink r:id="rId3" ref="D36"/>
    <hyperlink r:id="rId4" ref="E36"/>
    <hyperlink r:id="rId5" ref="D38"/>
    <hyperlink r:id="rId6" ref="E38"/>
    <hyperlink r:id="rId7" ref="D39"/>
    <hyperlink r:id="rId8" ref="E39"/>
    <hyperlink r:id="rId9" ref="D41"/>
    <hyperlink r:id="rId10" ref="E41"/>
  </hyperlinks>
  <printOptions/>
  <pageMargins bottom="0.75" footer="0.0" header="0.0" left="0.7" right="0.7" top="0.75"/>
  <pageSetup orientation="portrait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8.43"/>
    <col customWidth="1" min="3" max="3" width="15.29"/>
    <col customWidth="1" min="4" max="4" width="12.86"/>
    <col customWidth="1" min="5" max="5" width="17.71"/>
    <col customWidth="1" min="6" max="6" width="13.57"/>
    <col customWidth="1" min="7" max="7" width="20.43"/>
    <col customWidth="1" min="8" max="8" width="27.71"/>
    <col customWidth="1" min="9" max="26" width="11.43"/>
  </cols>
  <sheetData>
    <row r="1" ht="12.75" customHeight="1">
      <c r="A1" s="89"/>
      <c r="B1" s="89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6.5" customHeight="1">
      <c r="A2" s="89"/>
      <c r="B2" s="92" t="s">
        <v>55</v>
      </c>
      <c r="C2" s="93"/>
      <c r="D2" s="93"/>
      <c r="E2" s="93"/>
      <c r="F2" s="93"/>
      <c r="G2" s="93"/>
      <c r="H2" s="94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7.25" customHeight="1">
      <c r="A3" s="89"/>
      <c r="B3" s="95"/>
      <c r="C3" s="96"/>
      <c r="D3" s="96"/>
      <c r="E3" s="96"/>
      <c r="F3" s="96"/>
      <c r="G3" s="96"/>
      <c r="H3" s="97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3.5" customHeight="1">
      <c r="A4" s="89"/>
      <c r="B4" s="89"/>
      <c r="C4" s="89"/>
      <c r="D4" s="90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3.5" customHeight="1">
      <c r="A5" s="89"/>
      <c r="B5" s="102" t="s">
        <v>56</v>
      </c>
      <c r="C5" s="102" t="s">
        <v>35</v>
      </c>
      <c r="D5" s="103" t="s">
        <v>57</v>
      </c>
      <c r="E5" s="103" t="s">
        <v>58</v>
      </c>
      <c r="F5" s="103" t="s">
        <v>59</v>
      </c>
      <c r="G5" s="103" t="s">
        <v>60</v>
      </c>
      <c r="H5" s="103" t="s">
        <v>61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6.5" customHeight="1">
      <c r="A6" s="89"/>
      <c r="B6" s="108" t="s">
        <v>63</v>
      </c>
      <c r="C6" s="110">
        <f>'Incre IPC 2025'!E7</f>
        <v>375600</v>
      </c>
      <c r="D6" s="111">
        <v>2.0</v>
      </c>
      <c r="E6" s="112" t="s">
        <v>64</v>
      </c>
      <c r="F6" s="113">
        <v>5.0</v>
      </c>
      <c r="G6" s="112" t="s">
        <v>65</v>
      </c>
      <c r="H6" s="116" t="s">
        <v>66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16.5" customHeight="1">
      <c r="A7" s="89"/>
      <c r="B7" s="117" t="s">
        <v>67</v>
      </c>
      <c r="C7" s="119">
        <f>'Incre IPC 2025'!E8</f>
        <v>576700</v>
      </c>
      <c r="D7" s="120">
        <v>3.0</v>
      </c>
      <c r="E7" s="121"/>
      <c r="F7" s="122">
        <v>5.0</v>
      </c>
      <c r="G7" s="123"/>
      <c r="H7" s="123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6.5" customHeight="1">
      <c r="A8" s="89"/>
      <c r="B8" s="117" t="s">
        <v>24</v>
      </c>
      <c r="C8" s="119">
        <f>'Incre IPC 2025'!E9</f>
        <v>576700</v>
      </c>
      <c r="D8" s="123"/>
      <c r="E8" s="125" t="s">
        <v>64</v>
      </c>
      <c r="F8" s="122">
        <v>5.0</v>
      </c>
      <c r="G8" s="123"/>
      <c r="H8" s="123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16.5" customHeight="1">
      <c r="A9" s="89"/>
      <c r="B9" s="117" t="s">
        <v>25</v>
      </c>
      <c r="C9" s="119">
        <f>'Incre IPC 2025'!E10</f>
        <v>793200</v>
      </c>
      <c r="D9" s="123"/>
      <c r="E9" s="123"/>
      <c r="F9" s="122">
        <v>5.0</v>
      </c>
      <c r="G9" s="123"/>
      <c r="H9" s="123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7.25" customHeight="1">
      <c r="A10" s="89"/>
      <c r="B10" s="126" t="s">
        <v>27</v>
      </c>
      <c r="C10" s="127">
        <f>'Incre IPC 2025'!E11</f>
        <v>865000</v>
      </c>
      <c r="D10" s="128"/>
      <c r="E10" s="128"/>
      <c r="F10" s="129">
        <v>5.0</v>
      </c>
      <c r="G10" s="128"/>
      <c r="H10" s="128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3.5" customHeight="1">
      <c r="A11" s="89"/>
      <c r="B11" s="89"/>
      <c r="C11" s="89"/>
      <c r="D11" s="90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3.5" customHeight="1">
      <c r="A12" s="89"/>
      <c r="B12" s="89"/>
      <c r="C12" s="89"/>
      <c r="D12" s="89"/>
      <c r="E12" s="89"/>
      <c r="F12" s="132"/>
      <c r="G12" s="132"/>
      <c r="H12" s="133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3.5" customHeight="1">
      <c r="A13" s="89"/>
      <c r="B13" s="89"/>
      <c r="C13" s="89"/>
      <c r="D13" s="89"/>
      <c r="E13" s="89"/>
      <c r="F13" s="132"/>
      <c r="G13" s="132"/>
      <c r="H13" s="133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3.5" customHeight="1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3.5" customHeight="1">
      <c r="A15" s="89"/>
      <c r="B15" s="89"/>
      <c r="C15" s="132"/>
      <c r="D15" s="138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13.5" customHeight="1">
      <c r="A16" s="89"/>
      <c r="B16" s="89"/>
      <c r="C16" s="89"/>
      <c r="D16" s="13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3.5" customHeight="1">
      <c r="A17" s="89"/>
      <c r="B17" s="89"/>
      <c r="C17" s="89"/>
      <c r="D17" s="13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3.5" customHeight="1">
      <c r="A18" s="89"/>
      <c r="B18" s="89"/>
      <c r="C18" s="89"/>
      <c r="D18" s="90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13.5" customHeight="1">
      <c r="A19" s="89"/>
      <c r="B19" s="89"/>
      <c r="C19" s="89"/>
      <c r="D19" s="90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13.5" customHeight="1">
      <c r="A20" s="89"/>
      <c r="B20" s="89"/>
      <c r="C20" s="89"/>
      <c r="D20" s="90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3.5" customHeight="1">
      <c r="A21" s="89"/>
      <c r="B21" s="89"/>
      <c r="C21" s="89"/>
      <c r="D21" s="90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3.5" customHeight="1">
      <c r="A22" s="89"/>
      <c r="B22" s="89"/>
      <c r="C22" s="89"/>
      <c r="D22" s="90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3.5" customHeight="1">
      <c r="A23" s="89"/>
      <c r="B23" s="89"/>
      <c r="C23" s="89"/>
      <c r="D23" s="90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3.5" customHeight="1">
      <c r="A24" s="89"/>
      <c r="B24" s="89"/>
      <c r="C24" s="89"/>
      <c r="D24" s="90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3.5" customHeight="1">
      <c r="A25" s="89"/>
      <c r="B25" s="89"/>
      <c r="C25" s="89"/>
      <c r="D25" s="90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3.5" customHeight="1">
      <c r="A26" s="89"/>
      <c r="B26" s="89"/>
      <c r="C26" s="89"/>
      <c r="D26" s="90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3.5" customHeight="1">
      <c r="A27" s="89"/>
      <c r="B27" s="89"/>
      <c r="C27" s="89"/>
      <c r="D27" s="90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3.5" customHeight="1">
      <c r="A28" s="89"/>
      <c r="B28" s="89"/>
      <c r="C28" s="89"/>
      <c r="D28" s="90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3.5" customHeight="1">
      <c r="A29" s="89"/>
      <c r="B29" s="89"/>
      <c r="C29" s="89"/>
      <c r="D29" s="90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3.5" customHeight="1">
      <c r="A30" s="89"/>
      <c r="B30" s="89"/>
      <c r="C30" s="89"/>
      <c r="D30" s="90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3.5" customHeight="1">
      <c r="A31" s="89"/>
      <c r="B31" s="89"/>
      <c r="C31" s="89"/>
      <c r="D31" s="90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3.5" customHeight="1">
      <c r="A32" s="89"/>
      <c r="B32" s="89"/>
      <c r="C32" s="89"/>
      <c r="D32" s="90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3.5" customHeight="1">
      <c r="A33" s="89"/>
      <c r="B33" s="89"/>
      <c r="C33" s="89"/>
      <c r="D33" s="90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3.5" customHeight="1">
      <c r="A34" s="89"/>
      <c r="B34" s="89"/>
      <c r="C34" s="89"/>
      <c r="D34" s="90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3.5" customHeight="1">
      <c r="A35" s="89"/>
      <c r="B35" s="89"/>
      <c r="C35" s="89"/>
      <c r="D35" s="90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3.5" customHeight="1">
      <c r="A36" s="89"/>
      <c r="B36" s="89"/>
      <c r="C36" s="89"/>
      <c r="D36" s="90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3.5" customHeight="1">
      <c r="A37" s="89"/>
      <c r="B37" s="89"/>
      <c r="C37" s="89"/>
      <c r="D37" s="90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3.5" customHeight="1">
      <c r="A38" s="89"/>
      <c r="B38" s="89"/>
      <c r="C38" s="89"/>
      <c r="D38" s="90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3.5" customHeight="1">
      <c r="A39" s="89"/>
      <c r="B39" s="89"/>
      <c r="C39" s="89"/>
      <c r="D39" s="90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3.5" customHeight="1">
      <c r="A40" s="89"/>
      <c r="B40" s="89"/>
      <c r="C40" s="89"/>
      <c r="D40" s="90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3.5" customHeight="1">
      <c r="A41" s="89"/>
      <c r="B41" s="89"/>
      <c r="C41" s="89"/>
      <c r="D41" s="90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3.5" customHeight="1">
      <c r="A42" s="89"/>
      <c r="B42" s="89"/>
      <c r="C42" s="89"/>
      <c r="D42" s="90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3.5" customHeight="1">
      <c r="A43" s="89"/>
      <c r="B43" s="89"/>
      <c r="C43" s="89"/>
      <c r="D43" s="90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3.5" customHeight="1">
      <c r="A44" s="89"/>
      <c r="B44" s="89"/>
      <c r="C44" s="89"/>
      <c r="D44" s="90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3.5" customHeight="1">
      <c r="A45" s="89"/>
      <c r="B45" s="89"/>
      <c r="C45" s="89"/>
      <c r="D45" s="90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3.5" customHeight="1">
      <c r="A46" s="89"/>
      <c r="B46" s="89"/>
      <c r="C46" s="89"/>
      <c r="D46" s="90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3.5" customHeight="1">
      <c r="A47" s="89"/>
      <c r="B47" s="89"/>
      <c r="C47" s="89"/>
      <c r="D47" s="90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3.5" customHeight="1">
      <c r="A48" s="89"/>
      <c r="B48" s="89"/>
      <c r="C48" s="89"/>
      <c r="D48" s="90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3.5" customHeight="1">
      <c r="A49" s="89"/>
      <c r="B49" s="89"/>
      <c r="C49" s="89"/>
      <c r="D49" s="90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3.5" customHeight="1">
      <c r="A50" s="89"/>
      <c r="B50" s="89"/>
      <c r="C50" s="89"/>
      <c r="D50" s="90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3.5" customHeight="1">
      <c r="A51" s="89"/>
      <c r="B51" s="89"/>
      <c r="C51" s="89"/>
      <c r="D51" s="90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3.5" customHeight="1">
      <c r="A52" s="89"/>
      <c r="B52" s="89"/>
      <c r="C52" s="89"/>
      <c r="D52" s="90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3.5" customHeight="1">
      <c r="A53" s="89"/>
      <c r="B53" s="89"/>
      <c r="C53" s="89"/>
      <c r="D53" s="90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3.5" customHeight="1">
      <c r="A54" s="89"/>
      <c r="B54" s="89"/>
      <c r="C54" s="89"/>
      <c r="D54" s="90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3.5" customHeight="1">
      <c r="A55" s="89"/>
      <c r="B55" s="89"/>
      <c r="C55" s="89"/>
      <c r="D55" s="90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3.5" customHeight="1">
      <c r="A56" s="89"/>
      <c r="B56" s="89"/>
      <c r="C56" s="89"/>
      <c r="D56" s="90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3.5" customHeight="1">
      <c r="A57" s="89"/>
      <c r="B57" s="89"/>
      <c r="C57" s="89"/>
      <c r="D57" s="90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3.5" customHeight="1">
      <c r="A58" s="89"/>
      <c r="B58" s="89"/>
      <c r="C58" s="89"/>
      <c r="D58" s="90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3.5" customHeight="1">
      <c r="A59" s="89"/>
      <c r="B59" s="89"/>
      <c r="C59" s="89"/>
      <c r="D59" s="90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3.5" customHeight="1">
      <c r="A60" s="89"/>
      <c r="B60" s="89"/>
      <c r="C60" s="89"/>
      <c r="D60" s="90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3.5" customHeight="1">
      <c r="A61" s="89"/>
      <c r="B61" s="89"/>
      <c r="C61" s="89"/>
      <c r="D61" s="90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3.5" customHeight="1">
      <c r="A62" s="89"/>
      <c r="B62" s="89"/>
      <c r="C62" s="89"/>
      <c r="D62" s="90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3.5" customHeight="1">
      <c r="A63" s="89"/>
      <c r="B63" s="89"/>
      <c r="C63" s="89"/>
      <c r="D63" s="90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3.5" customHeight="1">
      <c r="A64" s="89"/>
      <c r="B64" s="89"/>
      <c r="C64" s="89"/>
      <c r="D64" s="90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3.5" customHeight="1">
      <c r="A65" s="89"/>
      <c r="B65" s="89"/>
      <c r="C65" s="89"/>
      <c r="D65" s="90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3.5" customHeight="1">
      <c r="A66" s="89"/>
      <c r="B66" s="89"/>
      <c r="C66" s="89"/>
      <c r="D66" s="90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3.5" customHeight="1">
      <c r="A67" s="89"/>
      <c r="B67" s="89"/>
      <c r="C67" s="89"/>
      <c r="D67" s="90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3.5" customHeight="1">
      <c r="A68" s="89"/>
      <c r="B68" s="89"/>
      <c r="C68" s="89"/>
      <c r="D68" s="90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3.5" customHeight="1">
      <c r="A69" s="89"/>
      <c r="B69" s="89"/>
      <c r="C69" s="89"/>
      <c r="D69" s="90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3.5" customHeight="1">
      <c r="A70" s="89"/>
      <c r="B70" s="89"/>
      <c r="C70" s="89"/>
      <c r="D70" s="90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3.5" customHeight="1">
      <c r="A71" s="89"/>
      <c r="B71" s="89"/>
      <c r="C71" s="89"/>
      <c r="D71" s="90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3.5" customHeight="1">
      <c r="A72" s="89"/>
      <c r="B72" s="89"/>
      <c r="C72" s="89"/>
      <c r="D72" s="90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3.5" customHeight="1">
      <c r="A73" s="89"/>
      <c r="B73" s="89"/>
      <c r="C73" s="89"/>
      <c r="D73" s="90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3.5" customHeight="1">
      <c r="A74" s="89"/>
      <c r="B74" s="89"/>
      <c r="C74" s="89"/>
      <c r="D74" s="90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3.5" customHeight="1">
      <c r="A75" s="89"/>
      <c r="B75" s="89"/>
      <c r="C75" s="89"/>
      <c r="D75" s="90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3.5" customHeight="1">
      <c r="A76" s="89"/>
      <c r="B76" s="89"/>
      <c r="C76" s="89"/>
      <c r="D76" s="90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3.5" customHeight="1">
      <c r="A77" s="89"/>
      <c r="B77" s="89"/>
      <c r="C77" s="89"/>
      <c r="D77" s="90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3.5" customHeight="1">
      <c r="A78" s="89"/>
      <c r="B78" s="89"/>
      <c r="C78" s="89"/>
      <c r="D78" s="90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3.5" customHeight="1">
      <c r="A79" s="89"/>
      <c r="B79" s="89"/>
      <c r="C79" s="89"/>
      <c r="D79" s="90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3.5" customHeight="1">
      <c r="A80" s="89"/>
      <c r="B80" s="89"/>
      <c r="C80" s="89"/>
      <c r="D80" s="90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3.5" customHeight="1">
      <c r="A81" s="89"/>
      <c r="B81" s="89"/>
      <c r="C81" s="89"/>
      <c r="D81" s="90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3.5" customHeight="1">
      <c r="A82" s="89"/>
      <c r="B82" s="89"/>
      <c r="C82" s="89"/>
      <c r="D82" s="90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3.5" customHeight="1">
      <c r="A83" s="89"/>
      <c r="B83" s="89"/>
      <c r="C83" s="89"/>
      <c r="D83" s="90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3.5" customHeight="1">
      <c r="A84" s="89"/>
      <c r="B84" s="89"/>
      <c r="C84" s="89"/>
      <c r="D84" s="90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3.5" customHeight="1">
      <c r="A85" s="89"/>
      <c r="B85" s="89"/>
      <c r="C85" s="89"/>
      <c r="D85" s="90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3.5" customHeight="1">
      <c r="A86" s="89"/>
      <c r="B86" s="89"/>
      <c r="C86" s="89"/>
      <c r="D86" s="90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3.5" customHeight="1">
      <c r="A87" s="89"/>
      <c r="B87" s="89"/>
      <c r="C87" s="89"/>
      <c r="D87" s="90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3.5" customHeight="1">
      <c r="A88" s="89"/>
      <c r="B88" s="89"/>
      <c r="C88" s="89"/>
      <c r="D88" s="90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3.5" customHeight="1">
      <c r="A89" s="89"/>
      <c r="B89" s="89"/>
      <c r="C89" s="89"/>
      <c r="D89" s="90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3.5" customHeight="1">
      <c r="A90" s="89"/>
      <c r="B90" s="89"/>
      <c r="C90" s="89"/>
      <c r="D90" s="90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3.5" customHeight="1">
      <c r="A91" s="89"/>
      <c r="B91" s="89"/>
      <c r="C91" s="89"/>
      <c r="D91" s="90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3.5" customHeight="1">
      <c r="A92" s="89"/>
      <c r="B92" s="89"/>
      <c r="C92" s="89"/>
      <c r="D92" s="90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3.5" customHeight="1">
      <c r="A93" s="89"/>
      <c r="B93" s="89"/>
      <c r="C93" s="89"/>
      <c r="D93" s="90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3.5" customHeight="1">
      <c r="A94" s="89"/>
      <c r="B94" s="89"/>
      <c r="C94" s="89"/>
      <c r="D94" s="90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3.5" customHeight="1">
      <c r="A95" s="89"/>
      <c r="B95" s="89"/>
      <c r="C95" s="89"/>
      <c r="D95" s="90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3.5" customHeight="1">
      <c r="A96" s="89"/>
      <c r="B96" s="89"/>
      <c r="C96" s="89"/>
      <c r="D96" s="90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3.5" customHeight="1">
      <c r="A97" s="89"/>
      <c r="B97" s="89"/>
      <c r="C97" s="89"/>
      <c r="D97" s="90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3.5" customHeight="1">
      <c r="A98" s="89"/>
      <c r="B98" s="89"/>
      <c r="C98" s="89"/>
      <c r="D98" s="90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3.5" customHeight="1">
      <c r="A99" s="89"/>
      <c r="B99" s="89"/>
      <c r="C99" s="89"/>
      <c r="D99" s="90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3.5" customHeight="1">
      <c r="A100" s="89"/>
      <c r="B100" s="89"/>
      <c r="C100" s="89"/>
      <c r="D100" s="90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3.5" customHeight="1">
      <c r="A101" s="89"/>
      <c r="B101" s="89"/>
      <c r="C101" s="89"/>
      <c r="D101" s="90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3.5" customHeight="1">
      <c r="A102" s="89"/>
      <c r="B102" s="89"/>
      <c r="C102" s="89"/>
      <c r="D102" s="90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3.5" customHeight="1">
      <c r="A103" s="89"/>
      <c r="B103" s="89"/>
      <c r="C103" s="89"/>
      <c r="D103" s="90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3.5" customHeight="1">
      <c r="A104" s="89"/>
      <c r="B104" s="89"/>
      <c r="C104" s="89"/>
      <c r="D104" s="90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3.5" customHeight="1">
      <c r="A105" s="89"/>
      <c r="B105" s="89"/>
      <c r="C105" s="89"/>
      <c r="D105" s="90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3.5" customHeight="1">
      <c r="A106" s="89"/>
      <c r="B106" s="89"/>
      <c r="C106" s="89"/>
      <c r="D106" s="90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3.5" customHeight="1">
      <c r="A107" s="89"/>
      <c r="B107" s="89"/>
      <c r="C107" s="89"/>
      <c r="D107" s="90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3.5" customHeight="1">
      <c r="A108" s="89"/>
      <c r="B108" s="89"/>
      <c r="C108" s="89"/>
      <c r="D108" s="90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3.5" customHeight="1">
      <c r="A109" s="89"/>
      <c r="B109" s="89"/>
      <c r="C109" s="89"/>
      <c r="D109" s="90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3.5" customHeight="1">
      <c r="A110" s="89"/>
      <c r="B110" s="89"/>
      <c r="C110" s="89"/>
      <c r="D110" s="90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3.5" customHeight="1">
      <c r="A111" s="89"/>
      <c r="B111" s="89"/>
      <c r="C111" s="89"/>
      <c r="D111" s="90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3.5" customHeight="1">
      <c r="A112" s="89"/>
      <c r="B112" s="89"/>
      <c r="C112" s="89"/>
      <c r="D112" s="90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3.5" customHeight="1">
      <c r="A113" s="89"/>
      <c r="B113" s="89"/>
      <c r="C113" s="89"/>
      <c r="D113" s="90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3.5" customHeight="1">
      <c r="A114" s="89"/>
      <c r="B114" s="89"/>
      <c r="C114" s="89"/>
      <c r="D114" s="90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3.5" customHeight="1">
      <c r="A115" s="89"/>
      <c r="B115" s="89"/>
      <c r="C115" s="89"/>
      <c r="D115" s="90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3.5" customHeight="1">
      <c r="A116" s="89"/>
      <c r="B116" s="89"/>
      <c r="C116" s="89"/>
      <c r="D116" s="90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3.5" customHeight="1">
      <c r="A117" s="89"/>
      <c r="B117" s="89"/>
      <c r="C117" s="89"/>
      <c r="D117" s="90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3.5" customHeight="1">
      <c r="A118" s="89"/>
      <c r="B118" s="89"/>
      <c r="C118" s="89"/>
      <c r="D118" s="90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3.5" customHeight="1">
      <c r="A119" s="89"/>
      <c r="B119" s="89"/>
      <c r="C119" s="89"/>
      <c r="D119" s="90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3.5" customHeight="1">
      <c r="A120" s="89"/>
      <c r="B120" s="89"/>
      <c r="C120" s="89"/>
      <c r="D120" s="90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3.5" customHeight="1">
      <c r="A121" s="89"/>
      <c r="B121" s="89"/>
      <c r="C121" s="89"/>
      <c r="D121" s="90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3.5" customHeight="1">
      <c r="A122" s="89"/>
      <c r="B122" s="89"/>
      <c r="C122" s="89"/>
      <c r="D122" s="90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3.5" customHeight="1">
      <c r="A123" s="89"/>
      <c r="B123" s="89"/>
      <c r="C123" s="89"/>
      <c r="D123" s="90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3.5" customHeight="1">
      <c r="A124" s="89"/>
      <c r="B124" s="89"/>
      <c r="C124" s="89"/>
      <c r="D124" s="90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3.5" customHeight="1">
      <c r="A125" s="89"/>
      <c r="B125" s="89"/>
      <c r="C125" s="89"/>
      <c r="D125" s="90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3.5" customHeight="1">
      <c r="A126" s="89"/>
      <c r="B126" s="89"/>
      <c r="C126" s="89"/>
      <c r="D126" s="90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3.5" customHeight="1">
      <c r="A127" s="89"/>
      <c r="B127" s="89"/>
      <c r="C127" s="89"/>
      <c r="D127" s="90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3.5" customHeight="1">
      <c r="A128" s="89"/>
      <c r="B128" s="89"/>
      <c r="C128" s="89"/>
      <c r="D128" s="90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3.5" customHeight="1">
      <c r="A129" s="89"/>
      <c r="B129" s="89"/>
      <c r="C129" s="89"/>
      <c r="D129" s="90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3.5" customHeight="1">
      <c r="A130" s="89"/>
      <c r="B130" s="89"/>
      <c r="C130" s="89"/>
      <c r="D130" s="90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3.5" customHeight="1">
      <c r="A131" s="89"/>
      <c r="B131" s="89"/>
      <c r="C131" s="89"/>
      <c r="D131" s="90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3.5" customHeight="1">
      <c r="A132" s="89"/>
      <c r="B132" s="89"/>
      <c r="C132" s="89"/>
      <c r="D132" s="90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3.5" customHeight="1">
      <c r="A133" s="89"/>
      <c r="B133" s="89"/>
      <c r="C133" s="89"/>
      <c r="D133" s="90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3.5" customHeight="1">
      <c r="A134" s="89"/>
      <c r="B134" s="89"/>
      <c r="C134" s="89"/>
      <c r="D134" s="90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3.5" customHeight="1">
      <c r="A135" s="89"/>
      <c r="B135" s="89"/>
      <c r="C135" s="89"/>
      <c r="D135" s="90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3.5" customHeight="1">
      <c r="A136" s="89"/>
      <c r="B136" s="89"/>
      <c r="C136" s="89"/>
      <c r="D136" s="90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3.5" customHeight="1">
      <c r="A137" s="89"/>
      <c r="B137" s="89"/>
      <c r="C137" s="89"/>
      <c r="D137" s="90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3.5" customHeight="1">
      <c r="A138" s="89"/>
      <c r="B138" s="89"/>
      <c r="C138" s="89"/>
      <c r="D138" s="90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3.5" customHeight="1">
      <c r="A139" s="89"/>
      <c r="B139" s="89"/>
      <c r="C139" s="89"/>
      <c r="D139" s="90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3.5" customHeight="1">
      <c r="A140" s="89"/>
      <c r="B140" s="89"/>
      <c r="C140" s="89"/>
      <c r="D140" s="90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3.5" customHeight="1">
      <c r="A141" s="89"/>
      <c r="B141" s="89"/>
      <c r="C141" s="89"/>
      <c r="D141" s="90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3.5" customHeight="1">
      <c r="A142" s="89"/>
      <c r="B142" s="89"/>
      <c r="C142" s="89"/>
      <c r="D142" s="90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3.5" customHeight="1">
      <c r="A143" s="89"/>
      <c r="B143" s="89"/>
      <c r="C143" s="89"/>
      <c r="D143" s="90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3.5" customHeight="1">
      <c r="A144" s="89"/>
      <c r="B144" s="89"/>
      <c r="C144" s="89"/>
      <c r="D144" s="90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3.5" customHeight="1">
      <c r="A145" s="89"/>
      <c r="B145" s="89"/>
      <c r="C145" s="89"/>
      <c r="D145" s="90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3.5" customHeight="1">
      <c r="A146" s="89"/>
      <c r="B146" s="89"/>
      <c r="C146" s="89"/>
      <c r="D146" s="90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3.5" customHeight="1">
      <c r="A147" s="89"/>
      <c r="B147" s="89"/>
      <c r="C147" s="89"/>
      <c r="D147" s="90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3.5" customHeight="1">
      <c r="A148" s="89"/>
      <c r="B148" s="89"/>
      <c r="C148" s="89"/>
      <c r="D148" s="90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3.5" customHeight="1">
      <c r="A149" s="89"/>
      <c r="B149" s="89"/>
      <c r="C149" s="89"/>
      <c r="D149" s="90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3.5" customHeight="1">
      <c r="A150" s="89"/>
      <c r="B150" s="89"/>
      <c r="C150" s="89"/>
      <c r="D150" s="90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3.5" customHeight="1">
      <c r="A151" s="89"/>
      <c r="B151" s="89"/>
      <c r="C151" s="89"/>
      <c r="D151" s="90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3.5" customHeight="1">
      <c r="A152" s="89"/>
      <c r="B152" s="89"/>
      <c r="C152" s="89"/>
      <c r="D152" s="90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3.5" customHeight="1">
      <c r="A153" s="89"/>
      <c r="B153" s="89"/>
      <c r="C153" s="89"/>
      <c r="D153" s="90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3.5" customHeight="1">
      <c r="A154" s="89"/>
      <c r="B154" s="89"/>
      <c r="C154" s="89"/>
      <c r="D154" s="90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3.5" customHeight="1">
      <c r="A155" s="89"/>
      <c r="B155" s="89"/>
      <c r="C155" s="89"/>
      <c r="D155" s="90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3.5" customHeight="1">
      <c r="A156" s="89"/>
      <c r="B156" s="89"/>
      <c r="C156" s="89"/>
      <c r="D156" s="90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3.5" customHeight="1">
      <c r="A157" s="89"/>
      <c r="B157" s="89"/>
      <c r="C157" s="89"/>
      <c r="D157" s="90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3.5" customHeight="1">
      <c r="A158" s="89"/>
      <c r="B158" s="89"/>
      <c r="C158" s="89"/>
      <c r="D158" s="90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3.5" customHeight="1">
      <c r="A159" s="89"/>
      <c r="B159" s="89"/>
      <c r="C159" s="89"/>
      <c r="D159" s="90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3.5" customHeight="1">
      <c r="A160" s="89"/>
      <c r="B160" s="89"/>
      <c r="C160" s="89"/>
      <c r="D160" s="90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3.5" customHeight="1">
      <c r="A161" s="89"/>
      <c r="B161" s="89"/>
      <c r="C161" s="89"/>
      <c r="D161" s="90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3.5" customHeight="1">
      <c r="A162" s="89"/>
      <c r="B162" s="89"/>
      <c r="C162" s="89"/>
      <c r="D162" s="90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3.5" customHeight="1">
      <c r="A163" s="89"/>
      <c r="B163" s="89"/>
      <c r="C163" s="89"/>
      <c r="D163" s="90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3.5" customHeight="1">
      <c r="A164" s="89"/>
      <c r="B164" s="89"/>
      <c r="C164" s="89"/>
      <c r="D164" s="90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3.5" customHeight="1">
      <c r="A165" s="89"/>
      <c r="B165" s="89"/>
      <c r="C165" s="89"/>
      <c r="D165" s="90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3.5" customHeight="1">
      <c r="A166" s="89"/>
      <c r="B166" s="89"/>
      <c r="C166" s="89"/>
      <c r="D166" s="90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3.5" customHeight="1">
      <c r="A167" s="89"/>
      <c r="B167" s="89"/>
      <c r="C167" s="89"/>
      <c r="D167" s="90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3.5" customHeight="1">
      <c r="A168" s="89"/>
      <c r="B168" s="89"/>
      <c r="C168" s="89"/>
      <c r="D168" s="90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3.5" customHeight="1">
      <c r="A169" s="89"/>
      <c r="B169" s="89"/>
      <c r="C169" s="89"/>
      <c r="D169" s="90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3.5" customHeight="1">
      <c r="A170" s="89"/>
      <c r="B170" s="89"/>
      <c r="C170" s="89"/>
      <c r="D170" s="90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3.5" customHeight="1">
      <c r="A171" s="89"/>
      <c r="B171" s="89"/>
      <c r="C171" s="89"/>
      <c r="D171" s="90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3.5" customHeight="1">
      <c r="A172" s="89"/>
      <c r="B172" s="89"/>
      <c r="C172" s="89"/>
      <c r="D172" s="90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3.5" customHeight="1">
      <c r="A173" s="89"/>
      <c r="B173" s="89"/>
      <c r="C173" s="89"/>
      <c r="D173" s="90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3.5" customHeight="1">
      <c r="A174" s="89"/>
      <c r="B174" s="89"/>
      <c r="C174" s="89"/>
      <c r="D174" s="90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3.5" customHeight="1">
      <c r="A175" s="89"/>
      <c r="B175" s="89"/>
      <c r="C175" s="89"/>
      <c r="D175" s="90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3.5" customHeight="1">
      <c r="A176" s="89"/>
      <c r="B176" s="89"/>
      <c r="C176" s="89"/>
      <c r="D176" s="90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3.5" customHeight="1">
      <c r="A177" s="89"/>
      <c r="B177" s="89"/>
      <c r="C177" s="89"/>
      <c r="D177" s="90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3.5" customHeight="1">
      <c r="A178" s="89"/>
      <c r="B178" s="89"/>
      <c r="C178" s="89"/>
      <c r="D178" s="90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3.5" customHeight="1">
      <c r="A179" s="89"/>
      <c r="B179" s="89"/>
      <c r="C179" s="89"/>
      <c r="D179" s="90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3.5" customHeight="1">
      <c r="A180" s="89"/>
      <c r="B180" s="89"/>
      <c r="C180" s="89"/>
      <c r="D180" s="90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3.5" customHeight="1">
      <c r="A181" s="89"/>
      <c r="B181" s="89"/>
      <c r="C181" s="89"/>
      <c r="D181" s="90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3.5" customHeight="1">
      <c r="A182" s="89"/>
      <c r="B182" s="89"/>
      <c r="C182" s="89"/>
      <c r="D182" s="90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3.5" customHeight="1">
      <c r="A183" s="89"/>
      <c r="B183" s="89"/>
      <c r="C183" s="89"/>
      <c r="D183" s="90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3.5" customHeight="1">
      <c r="A184" s="89"/>
      <c r="B184" s="89"/>
      <c r="C184" s="89"/>
      <c r="D184" s="90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3.5" customHeight="1">
      <c r="A185" s="89"/>
      <c r="B185" s="89"/>
      <c r="C185" s="89"/>
      <c r="D185" s="90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3.5" customHeight="1">
      <c r="A186" s="89"/>
      <c r="B186" s="89"/>
      <c r="C186" s="89"/>
      <c r="D186" s="90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3.5" customHeight="1">
      <c r="A187" s="89"/>
      <c r="B187" s="89"/>
      <c r="C187" s="89"/>
      <c r="D187" s="90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3.5" customHeight="1">
      <c r="A188" s="89"/>
      <c r="B188" s="89"/>
      <c r="C188" s="89"/>
      <c r="D188" s="90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3.5" customHeight="1">
      <c r="A189" s="89"/>
      <c r="B189" s="89"/>
      <c r="C189" s="89"/>
      <c r="D189" s="90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3.5" customHeight="1">
      <c r="A190" s="89"/>
      <c r="B190" s="89"/>
      <c r="C190" s="89"/>
      <c r="D190" s="90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3.5" customHeight="1">
      <c r="A191" s="89"/>
      <c r="B191" s="89"/>
      <c r="C191" s="89"/>
      <c r="D191" s="90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3.5" customHeight="1">
      <c r="A192" s="89"/>
      <c r="B192" s="89"/>
      <c r="C192" s="89"/>
      <c r="D192" s="90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3.5" customHeight="1">
      <c r="A193" s="89"/>
      <c r="B193" s="89"/>
      <c r="C193" s="89"/>
      <c r="D193" s="90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3.5" customHeight="1">
      <c r="A194" s="89"/>
      <c r="B194" s="89"/>
      <c r="C194" s="89"/>
      <c r="D194" s="90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3.5" customHeight="1">
      <c r="A195" s="89"/>
      <c r="B195" s="89"/>
      <c r="C195" s="89"/>
      <c r="D195" s="90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3.5" customHeight="1">
      <c r="A196" s="89"/>
      <c r="B196" s="89"/>
      <c r="C196" s="89"/>
      <c r="D196" s="90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3.5" customHeight="1">
      <c r="A197" s="89"/>
      <c r="B197" s="89"/>
      <c r="C197" s="89"/>
      <c r="D197" s="90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3.5" customHeight="1">
      <c r="A198" s="89"/>
      <c r="B198" s="89"/>
      <c r="C198" s="89"/>
      <c r="D198" s="90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3.5" customHeight="1">
      <c r="A199" s="89"/>
      <c r="B199" s="89"/>
      <c r="C199" s="89"/>
      <c r="D199" s="90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3.5" customHeight="1">
      <c r="A200" s="89"/>
      <c r="B200" s="89"/>
      <c r="C200" s="89"/>
      <c r="D200" s="90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3.5" customHeight="1">
      <c r="A201" s="89"/>
      <c r="B201" s="89"/>
      <c r="C201" s="89"/>
      <c r="D201" s="90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3.5" customHeight="1">
      <c r="A202" s="89"/>
      <c r="B202" s="89"/>
      <c r="C202" s="89"/>
      <c r="D202" s="90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3.5" customHeight="1">
      <c r="A203" s="89"/>
      <c r="B203" s="89"/>
      <c r="C203" s="89"/>
      <c r="D203" s="90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3.5" customHeight="1">
      <c r="A204" s="89"/>
      <c r="B204" s="89"/>
      <c r="C204" s="89"/>
      <c r="D204" s="90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3.5" customHeight="1">
      <c r="A205" s="89"/>
      <c r="B205" s="89"/>
      <c r="C205" s="89"/>
      <c r="D205" s="90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3.5" customHeight="1">
      <c r="A206" s="89"/>
      <c r="B206" s="89"/>
      <c r="C206" s="89"/>
      <c r="D206" s="90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3.5" customHeight="1">
      <c r="A207" s="89"/>
      <c r="B207" s="89"/>
      <c r="C207" s="89"/>
      <c r="D207" s="90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3.5" customHeight="1">
      <c r="A208" s="89"/>
      <c r="B208" s="89"/>
      <c r="C208" s="89"/>
      <c r="D208" s="90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3.5" customHeight="1">
      <c r="A209" s="89"/>
      <c r="B209" s="89"/>
      <c r="C209" s="89"/>
      <c r="D209" s="90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3.5" customHeight="1">
      <c r="A210" s="89"/>
      <c r="B210" s="89"/>
      <c r="C210" s="89"/>
      <c r="D210" s="90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3.5" customHeight="1">
      <c r="A211" s="89"/>
      <c r="B211" s="89"/>
      <c r="C211" s="89"/>
      <c r="D211" s="90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3.5" customHeight="1">
      <c r="A212" s="89"/>
      <c r="B212" s="89"/>
      <c r="C212" s="89"/>
      <c r="D212" s="90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3.5" customHeight="1">
      <c r="A213" s="89"/>
      <c r="B213" s="89"/>
      <c r="C213" s="89"/>
      <c r="D213" s="90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3.5" customHeight="1">
      <c r="A214" s="89"/>
      <c r="B214" s="89"/>
      <c r="C214" s="89"/>
      <c r="D214" s="90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3.5" customHeight="1">
      <c r="A215" s="89"/>
      <c r="B215" s="89"/>
      <c r="C215" s="89"/>
      <c r="D215" s="90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3.5" customHeight="1">
      <c r="A216" s="89"/>
      <c r="B216" s="89"/>
      <c r="C216" s="89"/>
      <c r="D216" s="90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3.5" customHeight="1">
      <c r="A217" s="89"/>
      <c r="B217" s="89"/>
      <c r="C217" s="89"/>
      <c r="D217" s="90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3.5" customHeight="1">
      <c r="A218" s="89"/>
      <c r="B218" s="89"/>
      <c r="C218" s="89"/>
      <c r="D218" s="90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3.5" customHeight="1">
      <c r="A219" s="89"/>
      <c r="B219" s="89"/>
      <c r="C219" s="89"/>
      <c r="D219" s="90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3.5" customHeight="1">
      <c r="A220" s="89"/>
      <c r="B220" s="89"/>
      <c r="C220" s="89"/>
      <c r="D220" s="90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H3"/>
    <mergeCell ref="E6:E7"/>
    <mergeCell ref="G6:G10"/>
    <mergeCell ref="H6:H10"/>
    <mergeCell ref="D7:D10"/>
    <mergeCell ref="E8:E10"/>
  </mergeCells>
  <hyperlinks>
    <hyperlink r:id="rId1" location="gid=1370905412" ref="H6"/>
  </hyperlinks>
  <printOptions/>
  <pageMargins bottom="0.75" footer="0.0" header="0.0" left="0.7" right="0.7" top="0.75"/>
  <pageSetup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4.14"/>
    <col customWidth="1" min="3" max="3" width="16.57"/>
    <col customWidth="1" min="4" max="4" width="32.0"/>
    <col customWidth="1" min="5" max="5" width="21.14"/>
    <col customWidth="1" min="6" max="6" width="4.43"/>
    <col customWidth="1" min="7" max="7" width="34.43"/>
    <col customWidth="1" min="8" max="8" width="15.14"/>
    <col customWidth="1" min="9" max="9" width="26.14"/>
    <col customWidth="1" min="10" max="10" width="63.57"/>
    <col customWidth="1" min="11" max="26" width="11.43"/>
  </cols>
  <sheetData>
    <row r="1">
      <c r="A1" s="140"/>
      <c r="B1" s="140"/>
      <c r="C1" s="141"/>
      <c r="D1" s="141"/>
      <c r="E1" s="140"/>
      <c r="F1" s="140"/>
      <c r="G1" s="140"/>
      <c r="H1" s="141"/>
      <c r="I1" s="141"/>
      <c r="J1" s="141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>
      <c r="A2" s="140"/>
      <c r="B2" s="144" t="s">
        <v>70</v>
      </c>
      <c r="C2" s="93"/>
      <c r="D2" s="93"/>
      <c r="E2" s="93"/>
      <c r="F2" s="93"/>
      <c r="G2" s="93"/>
      <c r="H2" s="93"/>
      <c r="I2" s="93"/>
      <c r="J2" s="93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>
      <c r="A3" s="140"/>
      <c r="B3" s="95"/>
      <c r="C3" s="96"/>
      <c r="D3" s="96"/>
      <c r="E3" s="96"/>
      <c r="F3" s="96"/>
      <c r="G3" s="96"/>
      <c r="H3" s="96"/>
      <c r="I3" s="96"/>
      <c r="J3" s="96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140"/>
      <c r="B4" s="140"/>
      <c r="C4" s="141"/>
      <c r="D4" s="141"/>
      <c r="E4" s="140"/>
      <c r="F4" s="140"/>
      <c r="G4" s="140"/>
      <c r="H4" s="141"/>
      <c r="I4" s="141"/>
      <c r="J4" s="141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140"/>
      <c r="B5" s="145" t="s">
        <v>71</v>
      </c>
      <c r="C5" s="146"/>
      <c r="D5" s="146"/>
      <c r="E5" s="147"/>
      <c r="F5" s="140"/>
      <c r="G5" s="148" t="s">
        <v>72</v>
      </c>
      <c r="H5" s="146"/>
      <c r="I5" s="146"/>
      <c r="J5" s="147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>
      <c r="A6" s="140"/>
      <c r="B6" s="149" t="s">
        <v>73</v>
      </c>
      <c r="C6" s="149" t="s">
        <v>74</v>
      </c>
      <c r="D6" s="149" t="s">
        <v>75</v>
      </c>
      <c r="E6" s="149" t="s">
        <v>76</v>
      </c>
      <c r="F6" s="140"/>
      <c r="G6" s="150" t="s">
        <v>73</v>
      </c>
      <c r="H6" s="150" t="s">
        <v>74</v>
      </c>
      <c r="I6" s="150" t="s">
        <v>75</v>
      </c>
      <c r="J6" s="150" t="s">
        <v>76</v>
      </c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ht="15.75" customHeight="1">
      <c r="A7" s="141"/>
      <c r="B7" s="151" t="s">
        <v>77</v>
      </c>
      <c r="C7" s="152">
        <v>270000.0</v>
      </c>
      <c r="D7" s="153" t="s">
        <v>78</v>
      </c>
      <c r="E7" s="154" t="s">
        <v>79</v>
      </c>
      <c r="F7" s="141"/>
      <c r="G7" s="155" t="s">
        <v>80</v>
      </c>
      <c r="H7" s="156">
        <v>360000.0</v>
      </c>
      <c r="I7" s="157" t="s">
        <v>78</v>
      </c>
      <c r="J7" s="158" t="s">
        <v>79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ht="15.75" customHeight="1">
      <c r="A8" s="141"/>
      <c r="B8" s="159" t="s">
        <v>81</v>
      </c>
      <c r="C8" s="160">
        <v>290000.0</v>
      </c>
      <c r="D8" s="161" t="s">
        <v>78</v>
      </c>
      <c r="E8" s="162" t="s">
        <v>82</v>
      </c>
      <c r="F8" s="141"/>
      <c r="G8" s="159" t="s">
        <v>83</v>
      </c>
      <c r="H8" s="160">
        <v>370000.0</v>
      </c>
      <c r="I8" s="161" t="s">
        <v>78</v>
      </c>
      <c r="J8" s="162" t="s">
        <v>82</v>
      </c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ht="15.75" customHeight="1">
      <c r="A9" s="141"/>
      <c r="B9" s="159" t="s">
        <v>84</v>
      </c>
      <c r="C9" s="160">
        <v>305000.0</v>
      </c>
      <c r="D9" s="161" t="s">
        <v>78</v>
      </c>
      <c r="E9" s="162" t="s">
        <v>85</v>
      </c>
      <c r="F9" s="141"/>
      <c r="G9" s="159" t="s">
        <v>86</v>
      </c>
      <c r="H9" s="160">
        <v>390000.0</v>
      </c>
      <c r="I9" s="161" t="s">
        <v>78</v>
      </c>
      <c r="J9" s="162" t="s">
        <v>85</v>
      </c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ht="15.75" customHeight="1">
      <c r="A10" s="141"/>
      <c r="B10" s="159" t="s">
        <v>107</v>
      </c>
      <c r="C10" s="160">
        <v>245000.0</v>
      </c>
      <c r="D10" s="161" t="s">
        <v>108</v>
      </c>
      <c r="E10" s="162" t="s">
        <v>109</v>
      </c>
      <c r="F10" s="141"/>
      <c r="G10" s="159" t="s">
        <v>110</v>
      </c>
      <c r="H10" s="160">
        <v>290000.0</v>
      </c>
      <c r="I10" s="162" t="s">
        <v>111</v>
      </c>
      <c r="J10" s="162" t="s">
        <v>112</v>
      </c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15.75" customHeight="1">
      <c r="A11" s="141"/>
      <c r="B11" s="159" t="s">
        <v>113</v>
      </c>
      <c r="C11" s="160">
        <v>300000.0</v>
      </c>
      <c r="D11" s="161" t="s">
        <v>108</v>
      </c>
      <c r="E11" s="162" t="s">
        <v>109</v>
      </c>
      <c r="F11" s="141"/>
      <c r="G11" s="159" t="s">
        <v>114</v>
      </c>
      <c r="H11" s="186">
        <v>440000.0</v>
      </c>
      <c r="I11" s="162" t="s">
        <v>111</v>
      </c>
      <c r="J11" s="162" t="s">
        <v>112</v>
      </c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ht="15.75" customHeight="1">
      <c r="A12" s="141"/>
      <c r="B12" s="159" t="s">
        <v>115</v>
      </c>
      <c r="C12" s="186">
        <v>350000.0</v>
      </c>
      <c r="D12" s="161" t="s">
        <v>116</v>
      </c>
      <c r="E12" s="162" t="s">
        <v>109</v>
      </c>
      <c r="F12" s="141"/>
      <c r="G12" s="159" t="s">
        <v>117</v>
      </c>
      <c r="H12" s="186">
        <v>75000.0</v>
      </c>
      <c r="I12" s="162" t="s">
        <v>118</v>
      </c>
      <c r="J12" s="162" t="s">
        <v>112</v>
      </c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>
      <c r="A13" s="141"/>
      <c r="B13" s="159" t="s">
        <v>119</v>
      </c>
      <c r="C13" s="186">
        <v>550000.0</v>
      </c>
      <c r="D13" s="161" t="s">
        <v>116</v>
      </c>
      <c r="E13" s="162" t="s">
        <v>109</v>
      </c>
      <c r="F13" s="141"/>
      <c r="G13" s="159" t="s">
        <v>120</v>
      </c>
      <c r="H13" s="186">
        <v>570000.0</v>
      </c>
      <c r="I13" s="161" t="s">
        <v>121</v>
      </c>
      <c r="J13" s="162" t="s">
        <v>122</v>
      </c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ht="15.75" customHeight="1">
      <c r="A14" s="141"/>
      <c r="B14" s="159" t="s">
        <v>123</v>
      </c>
      <c r="C14" s="186">
        <v>650000.0</v>
      </c>
      <c r="D14" s="161" t="s">
        <v>121</v>
      </c>
      <c r="E14" s="162" t="s">
        <v>124</v>
      </c>
      <c r="F14" s="141"/>
      <c r="G14" s="159" t="s">
        <v>125</v>
      </c>
      <c r="H14" s="186">
        <v>570000.0</v>
      </c>
      <c r="I14" s="161" t="s">
        <v>126</v>
      </c>
      <c r="J14" s="162" t="s">
        <v>122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ht="16.5" customHeight="1">
      <c r="A15" s="141"/>
      <c r="B15" s="187" t="s">
        <v>127</v>
      </c>
      <c r="C15" s="188">
        <v>700000.0</v>
      </c>
      <c r="D15" s="189" t="s">
        <v>121</v>
      </c>
      <c r="E15" s="190" t="s">
        <v>128</v>
      </c>
      <c r="F15" s="141"/>
      <c r="G15" s="159" t="s">
        <v>129</v>
      </c>
      <c r="H15" s="186">
        <v>610000.0</v>
      </c>
      <c r="I15" s="161" t="s">
        <v>121</v>
      </c>
      <c r="J15" s="162" t="s">
        <v>130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ht="16.5" customHeight="1">
      <c r="A16" s="140"/>
      <c r="B16" s="140"/>
      <c r="C16" s="140"/>
      <c r="D16" s="140"/>
      <c r="E16" s="140"/>
      <c r="F16" s="140"/>
      <c r="G16" s="191" t="s">
        <v>131</v>
      </c>
      <c r="H16" s="186">
        <v>610000.0</v>
      </c>
      <c r="I16" s="161" t="s">
        <v>126</v>
      </c>
      <c r="J16" s="162" t="s">
        <v>130</v>
      </c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5.75" customHeight="1">
      <c r="A17" s="140"/>
      <c r="B17" s="140"/>
      <c r="C17" s="140"/>
      <c r="D17" s="140"/>
      <c r="E17" s="140"/>
      <c r="F17" s="140"/>
      <c r="G17" s="192" t="s">
        <v>132</v>
      </c>
      <c r="H17" s="160">
        <v>900000.0</v>
      </c>
      <c r="I17" s="161" t="s">
        <v>121</v>
      </c>
      <c r="J17" s="162" t="s">
        <v>133</v>
      </c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5.75" customHeight="1">
      <c r="A18" s="140"/>
      <c r="B18" s="140"/>
      <c r="C18" s="140"/>
      <c r="D18" s="140"/>
      <c r="E18" s="140"/>
      <c r="F18" s="140"/>
      <c r="G18" s="193" t="s">
        <v>134</v>
      </c>
      <c r="H18" s="194">
        <v>900000.0</v>
      </c>
      <c r="I18" s="161" t="s">
        <v>126</v>
      </c>
      <c r="J18" s="162" t="s">
        <v>133</v>
      </c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5.75" customHeight="1">
      <c r="A19" s="140"/>
      <c r="B19" s="140"/>
      <c r="C19" s="140"/>
      <c r="D19" s="140"/>
      <c r="E19" s="140"/>
      <c r="F19" s="140"/>
      <c r="G19" s="193" t="s">
        <v>135</v>
      </c>
      <c r="H19" s="194">
        <v>910000.0</v>
      </c>
      <c r="I19" s="161" t="s">
        <v>121</v>
      </c>
      <c r="J19" s="162" t="s">
        <v>136</v>
      </c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5.75" customHeight="1">
      <c r="A20" s="140"/>
      <c r="B20" s="140"/>
      <c r="C20" s="140"/>
      <c r="D20" s="140"/>
      <c r="E20" s="140"/>
      <c r="F20" s="140"/>
      <c r="G20" s="193" t="s">
        <v>137</v>
      </c>
      <c r="H20" s="194">
        <v>920000.0</v>
      </c>
      <c r="I20" s="161" t="s">
        <v>121</v>
      </c>
      <c r="J20" s="162" t="s">
        <v>138</v>
      </c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15.75" customHeight="1">
      <c r="A21" s="140"/>
      <c r="B21" s="140"/>
      <c r="C21" s="140"/>
      <c r="D21" s="140"/>
      <c r="E21" s="140"/>
      <c r="F21" s="140"/>
      <c r="G21" s="191" t="s">
        <v>139</v>
      </c>
      <c r="H21" s="186">
        <v>340000.0</v>
      </c>
      <c r="I21" s="161" t="s">
        <v>140</v>
      </c>
      <c r="J21" s="162" t="s">
        <v>141</v>
      </c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6.5" customHeight="1">
      <c r="A22" s="140"/>
      <c r="B22" s="140"/>
      <c r="C22" s="140"/>
      <c r="D22" s="140"/>
      <c r="E22" s="140"/>
      <c r="F22" s="140"/>
      <c r="G22" s="195" t="s">
        <v>142</v>
      </c>
      <c r="H22" s="196">
        <v>980000.0</v>
      </c>
      <c r="I22" s="189" t="s">
        <v>140</v>
      </c>
      <c r="J22" s="190" t="s">
        <v>141</v>
      </c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6.5" customHeight="1">
      <c r="A23" s="140"/>
      <c r="B23" s="140"/>
      <c r="C23" s="140"/>
      <c r="D23" s="140"/>
      <c r="E23" s="140"/>
      <c r="F23" s="140"/>
      <c r="G23" s="140"/>
      <c r="H23" s="141"/>
      <c r="I23" s="141"/>
      <c r="J23" s="141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5.75" customHeight="1">
      <c r="A24" s="140"/>
      <c r="B24" s="140"/>
      <c r="C24" s="140"/>
      <c r="D24" s="140"/>
      <c r="E24" s="140"/>
      <c r="F24" s="140"/>
      <c r="G24" s="197"/>
      <c r="H24" s="197"/>
      <c r="I24" s="197"/>
      <c r="J24" s="141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5.75" customHeight="1">
      <c r="A25" s="140"/>
      <c r="B25" s="140"/>
      <c r="C25" s="140"/>
      <c r="D25" s="140"/>
      <c r="E25" s="140"/>
      <c r="F25" s="140"/>
      <c r="G25" s="197"/>
      <c r="H25" s="197"/>
      <c r="I25" s="197"/>
      <c r="J25" s="141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5.75" customHeight="1">
      <c r="A26" s="140"/>
      <c r="B26" s="140"/>
      <c r="C26" s="140"/>
      <c r="D26" s="140"/>
      <c r="E26" s="140"/>
      <c r="F26" s="140"/>
      <c r="G26" s="197"/>
      <c r="H26" s="197"/>
      <c r="I26" s="197"/>
      <c r="J26" s="141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5.75" customHeight="1">
      <c r="A27" s="140"/>
      <c r="B27" s="140"/>
      <c r="C27" s="140"/>
      <c r="D27" s="140"/>
      <c r="E27" s="140"/>
      <c r="F27" s="140"/>
      <c r="G27" s="197"/>
      <c r="H27" s="197"/>
      <c r="I27" s="197"/>
      <c r="J27" s="141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5.75" customHeight="1">
      <c r="A28" s="140"/>
      <c r="B28" s="140"/>
      <c r="C28" s="140"/>
      <c r="D28" s="140"/>
      <c r="E28" s="140"/>
      <c r="F28" s="140"/>
      <c r="G28" s="197"/>
      <c r="H28" s="197"/>
      <c r="I28" s="197"/>
      <c r="J28" s="141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5.75" customHeight="1">
      <c r="A29" s="140"/>
      <c r="B29" s="140"/>
      <c r="C29" s="140"/>
      <c r="D29" s="140"/>
      <c r="E29" s="140"/>
      <c r="F29" s="140"/>
      <c r="G29" s="197"/>
      <c r="H29" s="197"/>
      <c r="I29" s="197"/>
      <c r="J29" s="141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5.75" customHeight="1">
      <c r="A30" s="140"/>
      <c r="B30" s="140"/>
      <c r="C30" s="141"/>
      <c r="D30" s="141"/>
      <c r="E30" s="140"/>
      <c r="F30" s="140"/>
      <c r="G30" s="197"/>
      <c r="H30" s="197"/>
      <c r="I30" s="197"/>
      <c r="J30" s="141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5.75" customHeight="1">
      <c r="A31" s="140"/>
      <c r="B31" s="140"/>
      <c r="C31" s="141"/>
      <c r="D31" s="141"/>
      <c r="E31" s="140"/>
      <c r="F31" s="140"/>
      <c r="G31" s="197"/>
      <c r="H31" s="197"/>
      <c r="I31" s="197"/>
      <c r="J31" s="141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5.75" customHeight="1">
      <c r="A32" s="140"/>
      <c r="B32" s="140"/>
      <c r="C32" s="141"/>
      <c r="D32" s="141"/>
      <c r="E32" s="140"/>
      <c r="F32" s="140"/>
      <c r="G32" s="197"/>
      <c r="H32" s="197"/>
      <c r="I32" s="197"/>
      <c r="J32" s="141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5.75" customHeight="1">
      <c r="A33" s="140"/>
      <c r="B33" s="140"/>
      <c r="C33" s="141"/>
      <c r="D33" s="141"/>
      <c r="E33" s="140"/>
      <c r="F33" s="140"/>
      <c r="G33" s="197"/>
      <c r="H33" s="197"/>
      <c r="I33" s="197"/>
      <c r="J33" s="141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15.75" customHeight="1">
      <c r="A34" s="140"/>
      <c r="B34" s="140"/>
      <c r="C34" s="141"/>
      <c r="D34" s="141"/>
      <c r="E34" s="140"/>
      <c r="F34" s="140"/>
      <c r="G34" s="197"/>
      <c r="H34" s="197"/>
      <c r="I34" s="197"/>
      <c r="J34" s="141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5.75" customHeight="1">
      <c r="A35" s="140"/>
      <c r="B35" s="140"/>
      <c r="C35" s="141"/>
      <c r="D35" s="141"/>
      <c r="E35" s="140"/>
      <c r="F35" s="140"/>
      <c r="G35" s="197"/>
      <c r="H35" s="197"/>
      <c r="I35" s="197"/>
      <c r="J35" s="141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5.75" customHeight="1">
      <c r="A36" s="140"/>
      <c r="B36" s="140"/>
      <c r="C36" s="141"/>
      <c r="D36" s="141"/>
      <c r="E36" s="140"/>
      <c r="F36" s="140"/>
      <c r="G36" s="197"/>
      <c r="H36" s="197"/>
      <c r="I36" s="197"/>
      <c r="J36" s="141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5.75" customHeight="1">
      <c r="A37" s="140"/>
      <c r="B37" s="140"/>
      <c r="C37" s="141"/>
      <c r="D37" s="141"/>
      <c r="E37" s="140"/>
      <c r="F37" s="140"/>
      <c r="G37" s="197"/>
      <c r="H37" s="197"/>
      <c r="I37" s="197"/>
      <c r="J37" s="141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5.75" customHeight="1">
      <c r="A38" s="140"/>
      <c r="B38" s="140"/>
      <c r="C38" s="141"/>
      <c r="D38" s="141"/>
      <c r="E38" s="140"/>
      <c r="F38" s="140"/>
      <c r="G38" s="197"/>
      <c r="H38" s="197"/>
      <c r="I38" s="197"/>
      <c r="J38" s="141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5.75" customHeight="1">
      <c r="A39" s="140"/>
      <c r="B39" s="140"/>
      <c r="C39" s="141"/>
      <c r="D39" s="141"/>
      <c r="E39" s="140"/>
      <c r="F39" s="140"/>
      <c r="G39" s="197"/>
      <c r="H39" s="197"/>
      <c r="I39" s="197"/>
      <c r="J39" s="141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5.75" customHeight="1">
      <c r="A40" s="140"/>
      <c r="B40" s="140"/>
      <c r="C40" s="141"/>
      <c r="D40" s="141"/>
      <c r="E40" s="140"/>
      <c r="F40" s="140"/>
      <c r="G40" s="197"/>
      <c r="H40" s="197"/>
      <c r="I40" s="197"/>
      <c r="J40" s="141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5.75" customHeight="1">
      <c r="A41" s="140"/>
      <c r="B41" s="140"/>
      <c r="C41" s="141"/>
      <c r="D41" s="141"/>
      <c r="E41" s="140"/>
      <c r="F41" s="140"/>
      <c r="G41" s="140"/>
      <c r="H41" s="141"/>
      <c r="I41" s="141"/>
      <c r="J41" s="141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5.75" customHeight="1">
      <c r="A42" s="140"/>
      <c r="B42" s="140"/>
      <c r="C42" s="141"/>
      <c r="D42" s="141"/>
      <c r="E42" s="140"/>
      <c r="F42" s="140"/>
      <c r="G42" s="140"/>
      <c r="H42" s="141"/>
      <c r="I42" s="141"/>
      <c r="J42" s="141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5.75" customHeight="1">
      <c r="A43" s="140"/>
      <c r="B43" s="140"/>
      <c r="C43" s="141"/>
      <c r="D43" s="141"/>
      <c r="E43" s="140"/>
      <c r="F43" s="140"/>
      <c r="G43" s="140"/>
      <c r="H43" s="141"/>
      <c r="I43" s="141"/>
      <c r="J43" s="141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5.75" customHeight="1">
      <c r="A44" s="140"/>
      <c r="B44" s="140"/>
      <c r="C44" s="141"/>
      <c r="D44" s="141"/>
      <c r="E44" s="140"/>
      <c r="F44" s="140"/>
      <c r="G44" s="140"/>
      <c r="H44" s="141"/>
      <c r="I44" s="141"/>
      <c r="J44" s="141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5.75" customHeight="1">
      <c r="A45" s="140"/>
      <c r="B45" s="140"/>
      <c r="C45" s="141"/>
      <c r="D45" s="141"/>
      <c r="E45" s="140"/>
      <c r="F45" s="140"/>
      <c r="G45" s="140"/>
      <c r="H45" s="141"/>
      <c r="I45" s="141"/>
      <c r="J45" s="141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5.75" customHeight="1">
      <c r="A46" s="140"/>
      <c r="B46" s="140"/>
      <c r="C46" s="141"/>
      <c r="D46" s="141"/>
      <c r="E46" s="140"/>
      <c r="F46" s="140"/>
      <c r="G46" s="140"/>
      <c r="H46" s="141"/>
      <c r="I46" s="141"/>
      <c r="J46" s="141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15.75" customHeight="1">
      <c r="A47" s="140"/>
      <c r="B47" s="140"/>
      <c r="C47" s="141"/>
      <c r="D47" s="141"/>
      <c r="E47" s="140"/>
      <c r="F47" s="140"/>
      <c r="G47" s="140"/>
      <c r="H47" s="141"/>
      <c r="I47" s="141"/>
      <c r="J47" s="141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15.75" customHeight="1">
      <c r="A48" s="140"/>
      <c r="B48" s="140"/>
      <c r="C48" s="141"/>
      <c r="D48" s="141"/>
      <c r="E48" s="140"/>
      <c r="F48" s="140"/>
      <c r="G48" s="140"/>
      <c r="H48" s="141"/>
      <c r="I48" s="141"/>
      <c r="J48" s="141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15.75" customHeight="1">
      <c r="A49" s="140"/>
      <c r="B49" s="140"/>
      <c r="C49" s="141"/>
      <c r="D49" s="141"/>
      <c r="E49" s="140"/>
      <c r="F49" s="140"/>
      <c r="G49" s="140"/>
      <c r="H49" s="141"/>
      <c r="I49" s="141"/>
      <c r="J49" s="141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ht="15.75" customHeight="1">
      <c r="A50" s="140"/>
      <c r="B50" s="140"/>
      <c r="C50" s="141"/>
      <c r="D50" s="141"/>
      <c r="E50" s="140"/>
      <c r="F50" s="140"/>
      <c r="G50" s="140"/>
      <c r="H50" s="141"/>
      <c r="I50" s="141"/>
      <c r="J50" s="141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5.75" customHeight="1">
      <c r="A51" s="140"/>
      <c r="B51" s="140"/>
      <c r="C51" s="141"/>
      <c r="D51" s="141"/>
      <c r="E51" s="140"/>
      <c r="F51" s="140"/>
      <c r="G51" s="140"/>
      <c r="H51" s="141"/>
      <c r="I51" s="141"/>
      <c r="J51" s="141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5.75" customHeight="1">
      <c r="A52" s="140"/>
      <c r="B52" s="140"/>
      <c r="C52" s="141"/>
      <c r="D52" s="141"/>
      <c r="E52" s="140"/>
      <c r="F52" s="140"/>
      <c r="G52" s="140"/>
      <c r="H52" s="141"/>
      <c r="I52" s="141"/>
      <c r="J52" s="141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15.75" customHeight="1">
      <c r="A53" s="140"/>
      <c r="B53" s="140"/>
      <c r="C53" s="141"/>
      <c r="D53" s="141"/>
      <c r="E53" s="140"/>
      <c r="F53" s="140"/>
      <c r="G53" s="140"/>
      <c r="H53" s="141"/>
      <c r="I53" s="141"/>
      <c r="J53" s="141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15.75" customHeight="1">
      <c r="A54" s="140"/>
      <c r="B54" s="140"/>
      <c r="C54" s="141"/>
      <c r="D54" s="141"/>
      <c r="E54" s="140"/>
      <c r="F54" s="140"/>
      <c r="G54" s="140"/>
      <c r="H54" s="141"/>
      <c r="I54" s="141"/>
      <c r="J54" s="141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15.75" customHeight="1">
      <c r="A55" s="140"/>
      <c r="B55" s="140"/>
      <c r="C55" s="141"/>
      <c r="D55" s="141"/>
      <c r="E55" s="140"/>
      <c r="F55" s="140"/>
      <c r="G55" s="140"/>
      <c r="H55" s="141"/>
      <c r="I55" s="141"/>
      <c r="J55" s="141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ht="15.75" customHeight="1">
      <c r="A56" s="140"/>
      <c r="B56" s="140"/>
      <c r="C56" s="141"/>
      <c r="D56" s="141"/>
      <c r="E56" s="140"/>
      <c r="F56" s="140"/>
      <c r="G56" s="140"/>
      <c r="H56" s="141"/>
      <c r="I56" s="141"/>
      <c r="J56" s="141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ht="15.75" customHeight="1">
      <c r="A57" s="140"/>
      <c r="B57" s="140"/>
      <c r="C57" s="141"/>
      <c r="D57" s="141"/>
      <c r="E57" s="140"/>
      <c r="F57" s="140"/>
      <c r="G57" s="140"/>
      <c r="H57" s="141"/>
      <c r="I57" s="141"/>
      <c r="J57" s="141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ht="15.75" customHeight="1">
      <c r="A58" s="140"/>
      <c r="B58" s="140"/>
      <c r="C58" s="141"/>
      <c r="D58" s="141"/>
      <c r="E58" s="140"/>
      <c r="F58" s="140"/>
      <c r="G58" s="140"/>
      <c r="H58" s="141"/>
      <c r="I58" s="141"/>
      <c r="J58" s="141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ht="15.75" customHeight="1">
      <c r="A59" s="140"/>
      <c r="B59" s="140"/>
      <c r="C59" s="141"/>
      <c r="D59" s="141"/>
      <c r="E59" s="140"/>
      <c r="F59" s="140"/>
      <c r="G59" s="140"/>
      <c r="H59" s="141"/>
      <c r="I59" s="141"/>
      <c r="J59" s="141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ht="15.75" customHeight="1">
      <c r="A60" s="140"/>
      <c r="B60" s="140"/>
      <c r="C60" s="141"/>
      <c r="D60" s="141"/>
      <c r="E60" s="140"/>
      <c r="F60" s="140"/>
      <c r="G60" s="140"/>
      <c r="H60" s="141"/>
      <c r="I60" s="141"/>
      <c r="J60" s="141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ht="15.75" customHeight="1">
      <c r="A61" s="140"/>
      <c r="B61" s="140"/>
      <c r="C61" s="141"/>
      <c r="D61" s="141"/>
      <c r="E61" s="140"/>
      <c r="F61" s="140"/>
      <c r="G61" s="140"/>
      <c r="H61" s="141"/>
      <c r="I61" s="141"/>
      <c r="J61" s="141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ht="15.75" customHeight="1">
      <c r="A62" s="140"/>
      <c r="B62" s="140"/>
      <c r="C62" s="141"/>
      <c r="D62" s="141"/>
      <c r="E62" s="140"/>
      <c r="F62" s="140"/>
      <c r="G62" s="140"/>
      <c r="H62" s="141"/>
      <c r="I62" s="141"/>
      <c r="J62" s="141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5.75" customHeight="1">
      <c r="A63" s="140"/>
      <c r="B63" s="140"/>
      <c r="C63" s="141"/>
      <c r="D63" s="141"/>
      <c r="E63" s="140"/>
      <c r="F63" s="140"/>
      <c r="G63" s="140"/>
      <c r="H63" s="141"/>
      <c r="I63" s="141"/>
      <c r="J63" s="141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ht="15.75" customHeight="1">
      <c r="A64" s="140"/>
      <c r="B64" s="140"/>
      <c r="C64" s="141"/>
      <c r="D64" s="141"/>
      <c r="E64" s="140"/>
      <c r="F64" s="140"/>
      <c r="G64" s="140"/>
      <c r="H64" s="141"/>
      <c r="I64" s="141"/>
      <c r="J64" s="141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ht="15.75" customHeight="1">
      <c r="A65" s="140"/>
      <c r="B65" s="140"/>
      <c r="C65" s="141"/>
      <c r="D65" s="141"/>
      <c r="E65" s="140"/>
      <c r="F65" s="140"/>
      <c r="G65" s="140"/>
      <c r="H65" s="141"/>
      <c r="I65" s="141"/>
      <c r="J65" s="141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ht="15.75" customHeight="1">
      <c r="A66" s="140"/>
      <c r="B66" s="140"/>
      <c r="C66" s="141"/>
      <c r="D66" s="141"/>
      <c r="E66" s="140"/>
      <c r="F66" s="140"/>
      <c r="G66" s="140"/>
      <c r="H66" s="141"/>
      <c r="I66" s="141"/>
      <c r="J66" s="141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ht="15.75" customHeight="1">
      <c r="A67" s="140"/>
      <c r="B67" s="140"/>
      <c r="C67" s="141"/>
      <c r="D67" s="141"/>
      <c r="E67" s="140"/>
      <c r="F67" s="140"/>
      <c r="G67" s="140"/>
      <c r="H67" s="141"/>
      <c r="I67" s="141"/>
      <c r="J67" s="141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15.75" customHeight="1">
      <c r="A68" s="140"/>
      <c r="B68" s="140"/>
      <c r="C68" s="141"/>
      <c r="D68" s="141"/>
      <c r="E68" s="140"/>
      <c r="F68" s="140"/>
      <c r="G68" s="140"/>
      <c r="H68" s="141"/>
      <c r="I68" s="141"/>
      <c r="J68" s="141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ht="15.75" customHeight="1">
      <c r="A69" s="140"/>
      <c r="B69" s="140"/>
      <c r="C69" s="141"/>
      <c r="D69" s="141"/>
      <c r="E69" s="140"/>
      <c r="F69" s="140"/>
      <c r="G69" s="140"/>
      <c r="H69" s="141"/>
      <c r="I69" s="141"/>
      <c r="J69" s="141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ht="15.75" customHeight="1">
      <c r="A70" s="140"/>
      <c r="B70" s="140"/>
      <c r="C70" s="141"/>
      <c r="D70" s="141"/>
      <c r="E70" s="140"/>
      <c r="F70" s="140"/>
      <c r="G70" s="140"/>
      <c r="H70" s="141"/>
      <c r="I70" s="141"/>
      <c r="J70" s="141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ht="15.75" customHeight="1">
      <c r="A71" s="140"/>
      <c r="B71" s="140"/>
      <c r="C71" s="141"/>
      <c r="D71" s="141"/>
      <c r="E71" s="140"/>
      <c r="F71" s="140"/>
      <c r="G71" s="140"/>
      <c r="H71" s="141"/>
      <c r="I71" s="141"/>
      <c r="J71" s="14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ht="15.75" customHeight="1">
      <c r="A72" s="140"/>
      <c r="B72" s="140"/>
      <c r="C72" s="141"/>
      <c r="D72" s="141"/>
      <c r="E72" s="140"/>
      <c r="F72" s="140"/>
      <c r="G72" s="140"/>
      <c r="H72" s="141"/>
      <c r="I72" s="141"/>
      <c r="J72" s="141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ht="15.75" customHeight="1">
      <c r="A73" s="140"/>
      <c r="B73" s="140"/>
      <c r="C73" s="141"/>
      <c r="D73" s="141"/>
      <c r="E73" s="140"/>
      <c r="F73" s="140"/>
      <c r="G73" s="140"/>
      <c r="H73" s="141"/>
      <c r="I73" s="141"/>
      <c r="J73" s="141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ht="15.75" customHeight="1">
      <c r="A74" s="140"/>
      <c r="B74" s="140"/>
      <c r="C74" s="141"/>
      <c r="D74" s="141"/>
      <c r="E74" s="140"/>
      <c r="F74" s="140"/>
      <c r="G74" s="140"/>
      <c r="H74" s="141"/>
      <c r="I74" s="141"/>
      <c r="J74" s="141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ht="15.75" customHeight="1">
      <c r="A75" s="140"/>
      <c r="B75" s="140"/>
      <c r="C75" s="141"/>
      <c r="D75" s="141"/>
      <c r="E75" s="140"/>
      <c r="F75" s="140"/>
      <c r="G75" s="140"/>
      <c r="H75" s="141"/>
      <c r="I75" s="141"/>
      <c r="J75" s="141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ht="15.75" customHeight="1">
      <c r="A76" s="140"/>
      <c r="B76" s="140"/>
      <c r="C76" s="141"/>
      <c r="D76" s="141"/>
      <c r="E76" s="140"/>
      <c r="F76" s="140"/>
      <c r="G76" s="140"/>
      <c r="H76" s="141"/>
      <c r="I76" s="141"/>
      <c r="J76" s="141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ht="15.75" customHeight="1">
      <c r="A77" s="140"/>
      <c r="B77" s="140"/>
      <c r="C77" s="141"/>
      <c r="D77" s="141"/>
      <c r="E77" s="140"/>
      <c r="F77" s="140"/>
      <c r="G77" s="140"/>
      <c r="H77" s="141"/>
      <c r="I77" s="141"/>
      <c r="J77" s="141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ht="15.75" customHeight="1">
      <c r="A78" s="140"/>
      <c r="B78" s="140"/>
      <c r="C78" s="141"/>
      <c r="D78" s="141"/>
      <c r="E78" s="140"/>
      <c r="F78" s="140"/>
      <c r="G78" s="140"/>
      <c r="H78" s="141"/>
      <c r="I78" s="141"/>
      <c r="J78" s="141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ht="15.75" customHeight="1">
      <c r="A79" s="140"/>
      <c r="B79" s="140"/>
      <c r="C79" s="141"/>
      <c r="D79" s="141"/>
      <c r="E79" s="140"/>
      <c r="F79" s="140"/>
      <c r="G79" s="140"/>
      <c r="H79" s="141"/>
      <c r="I79" s="141"/>
      <c r="J79" s="141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ht="15.75" customHeight="1">
      <c r="A80" s="140"/>
      <c r="B80" s="140"/>
      <c r="C80" s="141"/>
      <c r="D80" s="141"/>
      <c r="E80" s="140"/>
      <c r="F80" s="140"/>
      <c r="G80" s="140"/>
      <c r="H80" s="141"/>
      <c r="I80" s="141"/>
      <c r="J80" s="141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ht="15.75" customHeight="1">
      <c r="A81" s="140"/>
      <c r="B81" s="140"/>
      <c r="C81" s="141"/>
      <c r="D81" s="141"/>
      <c r="E81" s="140"/>
      <c r="F81" s="140"/>
      <c r="G81" s="140"/>
      <c r="H81" s="141"/>
      <c r="I81" s="141"/>
      <c r="J81" s="141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15.75" customHeight="1">
      <c r="A82" s="140"/>
      <c r="B82" s="140"/>
      <c r="C82" s="141"/>
      <c r="D82" s="141"/>
      <c r="E82" s="140"/>
      <c r="F82" s="140"/>
      <c r="G82" s="140"/>
      <c r="H82" s="141"/>
      <c r="I82" s="141"/>
      <c r="J82" s="141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ht="15.75" customHeight="1">
      <c r="A83" s="140"/>
      <c r="B83" s="140"/>
      <c r="C83" s="141"/>
      <c r="D83" s="141"/>
      <c r="E83" s="140"/>
      <c r="F83" s="140"/>
      <c r="G83" s="140"/>
      <c r="H83" s="141"/>
      <c r="I83" s="141"/>
      <c r="J83" s="141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ht="15.75" customHeight="1">
      <c r="A84" s="140"/>
      <c r="B84" s="140"/>
      <c r="C84" s="141"/>
      <c r="D84" s="141"/>
      <c r="E84" s="140"/>
      <c r="F84" s="140"/>
      <c r="G84" s="140"/>
      <c r="H84" s="141"/>
      <c r="I84" s="141"/>
      <c r="J84" s="141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ht="15.75" customHeight="1">
      <c r="A85" s="140"/>
      <c r="B85" s="140"/>
      <c r="C85" s="141"/>
      <c r="D85" s="141"/>
      <c r="E85" s="140"/>
      <c r="F85" s="140"/>
      <c r="G85" s="140"/>
      <c r="H85" s="141"/>
      <c r="I85" s="141"/>
      <c r="J85" s="141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ht="15.75" customHeight="1">
      <c r="A86" s="140"/>
      <c r="B86" s="140"/>
      <c r="C86" s="141"/>
      <c r="D86" s="141"/>
      <c r="E86" s="140"/>
      <c r="F86" s="140"/>
      <c r="G86" s="140"/>
      <c r="H86" s="141"/>
      <c r="I86" s="141"/>
      <c r="J86" s="141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ht="15.75" customHeight="1">
      <c r="A87" s="140"/>
      <c r="B87" s="140"/>
      <c r="C87" s="141"/>
      <c r="D87" s="141"/>
      <c r="E87" s="140"/>
      <c r="F87" s="140"/>
      <c r="G87" s="140"/>
      <c r="H87" s="141"/>
      <c r="I87" s="141"/>
      <c r="J87" s="141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ht="15.75" customHeight="1">
      <c r="A88" s="140"/>
      <c r="B88" s="140"/>
      <c r="C88" s="141"/>
      <c r="D88" s="141"/>
      <c r="E88" s="140"/>
      <c r="F88" s="140"/>
      <c r="G88" s="140"/>
      <c r="H88" s="141"/>
      <c r="I88" s="141"/>
      <c r="J88" s="141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ht="15.75" customHeight="1">
      <c r="A89" s="140"/>
      <c r="B89" s="140"/>
      <c r="C89" s="141"/>
      <c r="D89" s="141"/>
      <c r="E89" s="140"/>
      <c r="F89" s="140"/>
      <c r="G89" s="140"/>
      <c r="H89" s="141"/>
      <c r="I89" s="141"/>
      <c r="J89" s="141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15.75" customHeight="1">
      <c r="A90" s="140"/>
      <c r="B90" s="140"/>
      <c r="C90" s="141"/>
      <c r="D90" s="141"/>
      <c r="E90" s="140"/>
      <c r="F90" s="140"/>
      <c r="G90" s="140"/>
      <c r="H90" s="141"/>
      <c r="I90" s="141"/>
      <c r="J90" s="141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ht="15.75" customHeight="1">
      <c r="A91" s="140"/>
      <c r="B91" s="140"/>
      <c r="C91" s="141"/>
      <c r="D91" s="141"/>
      <c r="E91" s="140"/>
      <c r="F91" s="140"/>
      <c r="G91" s="140"/>
      <c r="H91" s="141"/>
      <c r="I91" s="141"/>
      <c r="J91" s="141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ht="15.75" customHeight="1">
      <c r="A92" s="140"/>
      <c r="B92" s="140"/>
      <c r="C92" s="141"/>
      <c r="D92" s="141"/>
      <c r="E92" s="140"/>
      <c r="F92" s="140"/>
      <c r="G92" s="140"/>
      <c r="H92" s="141"/>
      <c r="I92" s="141"/>
      <c r="J92" s="141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ht="15.75" customHeight="1">
      <c r="A93" s="140"/>
      <c r="B93" s="140"/>
      <c r="C93" s="141"/>
      <c r="D93" s="141"/>
      <c r="E93" s="140"/>
      <c r="F93" s="140"/>
      <c r="G93" s="140"/>
      <c r="H93" s="141"/>
      <c r="I93" s="141"/>
      <c r="J93" s="141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ht="15.75" customHeight="1">
      <c r="A94" s="140"/>
      <c r="B94" s="140"/>
      <c r="C94" s="141"/>
      <c r="D94" s="141"/>
      <c r="E94" s="140"/>
      <c r="F94" s="140"/>
      <c r="G94" s="140"/>
      <c r="H94" s="141"/>
      <c r="I94" s="141"/>
      <c r="J94" s="141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ht="15.75" customHeight="1">
      <c r="A95" s="140"/>
      <c r="B95" s="140"/>
      <c r="C95" s="141"/>
      <c r="D95" s="141"/>
      <c r="E95" s="140"/>
      <c r="F95" s="140"/>
      <c r="G95" s="140"/>
      <c r="H95" s="141"/>
      <c r="I95" s="141"/>
      <c r="J95" s="141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ht="15.75" customHeight="1">
      <c r="A96" s="140"/>
      <c r="B96" s="140"/>
      <c r="C96" s="141"/>
      <c r="D96" s="141"/>
      <c r="E96" s="140"/>
      <c r="F96" s="140"/>
      <c r="G96" s="140"/>
      <c r="H96" s="141"/>
      <c r="I96" s="141"/>
      <c r="J96" s="141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ht="15.75" customHeight="1">
      <c r="A97" s="140"/>
      <c r="B97" s="140"/>
      <c r="C97" s="141"/>
      <c r="D97" s="141"/>
      <c r="E97" s="140"/>
      <c r="F97" s="140"/>
      <c r="G97" s="140"/>
      <c r="H97" s="141"/>
      <c r="I97" s="141"/>
      <c r="J97" s="141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ht="15.75" customHeight="1">
      <c r="A98" s="140"/>
      <c r="B98" s="140"/>
      <c r="C98" s="141"/>
      <c r="D98" s="141"/>
      <c r="E98" s="140"/>
      <c r="F98" s="140"/>
      <c r="G98" s="140"/>
      <c r="H98" s="141"/>
      <c r="I98" s="141"/>
      <c r="J98" s="141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ht="15.75" customHeight="1">
      <c r="A99" s="140"/>
      <c r="B99" s="140"/>
      <c r="C99" s="141"/>
      <c r="D99" s="141"/>
      <c r="E99" s="140"/>
      <c r="F99" s="140"/>
      <c r="G99" s="140"/>
      <c r="H99" s="141"/>
      <c r="I99" s="141"/>
      <c r="J99" s="141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ht="15.75" customHeight="1">
      <c r="A100" s="140"/>
      <c r="B100" s="140"/>
      <c r="C100" s="141"/>
      <c r="D100" s="141"/>
      <c r="E100" s="140"/>
      <c r="F100" s="140"/>
      <c r="G100" s="140"/>
      <c r="H100" s="141"/>
      <c r="I100" s="141"/>
      <c r="J100" s="141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ht="15.75" customHeight="1">
      <c r="A101" s="140"/>
      <c r="B101" s="140"/>
      <c r="C101" s="141"/>
      <c r="D101" s="141"/>
      <c r="E101" s="140"/>
      <c r="F101" s="140"/>
      <c r="G101" s="140"/>
      <c r="H101" s="141"/>
      <c r="I101" s="141"/>
      <c r="J101" s="141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ht="15.75" customHeight="1">
      <c r="A102" s="140"/>
      <c r="B102" s="140"/>
      <c r="C102" s="141"/>
      <c r="D102" s="141"/>
      <c r="E102" s="140"/>
      <c r="F102" s="140"/>
      <c r="G102" s="140"/>
      <c r="H102" s="141"/>
      <c r="I102" s="141"/>
      <c r="J102" s="141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ht="15.75" customHeight="1">
      <c r="A103" s="140"/>
      <c r="B103" s="140"/>
      <c r="C103" s="141"/>
      <c r="D103" s="141"/>
      <c r="E103" s="140"/>
      <c r="F103" s="140"/>
      <c r="G103" s="140"/>
      <c r="H103" s="141"/>
      <c r="I103" s="141"/>
      <c r="J103" s="141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ht="15.75" customHeight="1">
      <c r="A104" s="140"/>
      <c r="B104" s="140"/>
      <c r="C104" s="141"/>
      <c r="D104" s="141"/>
      <c r="E104" s="140"/>
      <c r="F104" s="140"/>
      <c r="G104" s="140"/>
      <c r="H104" s="141"/>
      <c r="I104" s="141"/>
      <c r="J104" s="141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ht="15.75" customHeight="1">
      <c r="A105" s="140"/>
      <c r="B105" s="140"/>
      <c r="C105" s="141"/>
      <c r="D105" s="141"/>
      <c r="E105" s="140"/>
      <c r="F105" s="140"/>
      <c r="G105" s="140"/>
      <c r="H105" s="141"/>
      <c r="I105" s="141"/>
      <c r="J105" s="141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ht="15.75" customHeight="1">
      <c r="A106" s="140"/>
      <c r="B106" s="140"/>
      <c r="C106" s="141"/>
      <c r="D106" s="141"/>
      <c r="E106" s="140"/>
      <c r="F106" s="140"/>
      <c r="G106" s="140"/>
      <c r="H106" s="141"/>
      <c r="I106" s="141"/>
      <c r="J106" s="141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ht="15.75" customHeight="1">
      <c r="A107" s="140"/>
      <c r="B107" s="140"/>
      <c r="C107" s="141"/>
      <c r="D107" s="141"/>
      <c r="E107" s="140"/>
      <c r="F107" s="140"/>
      <c r="G107" s="140"/>
      <c r="H107" s="141"/>
      <c r="I107" s="141"/>
      <c r="J107" s="141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ht="15.75" customHeight="1">
      <c r="A108" s="140"/>
      <c r="B108" s="140"/>
      <c r="C108" s="141"/>
      <c r="D108" s="141"/>
      <c r="E108" s="140"/>
      <c r="F108" s="140"/>
      <c r="G108" s="140"/>
      <c r="H108" s="141"/>
      <c r="I108" s="141"/>
      <c r="J108" s="141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ht="15.75" customHeight="1">
      <c r="A109" s="140"/>
      <c r="B109" s="140"/>
      <c r="C109" s="141"/>
      <c r="D109" s="141"/>
      <c r="E109" s="140"/>
      <c r="F109" s="140"/>
      <c r="G109" s="140"/>
      <c r="H109" s="141"/>
      <c r="I109" s="141"/>
      <c r="J109" s="141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ht="15.75" customHeight="1">
      <c r="A110" s="140"/>
      <c r="B110" s="140"/>
      <c r="C110" s="141"/>
      <c r="D110" s="141"/>
      <c r="E110" s="140"/>
      <c r="F110" s="140"/>
      <c r="G110" s="140"/>
      <c r="H110" s="141"/>
      <c r="I110" s="141"/>
      <c r="J110" s="141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ht="15.75" customHeight="1">
      <c r="A111" s="140"/>
      <c r="B111" s="140"/>
      <c r="C111" s="141"/>
      <c r="D111" s="141"/>
      <c r="E111" s="140"/>
      <c r="F111" s="140"/>
      <c r="G111" s="140"/>
      <c r="H111" s="141"/>
      <c r="I111" s="141"/>
      <c r="J111" s="141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ht="15.75" customHeight="1">
      <c r="A112" s="140"/>
      <c r="B112" s="140"/>
      <c r="C112" s="141"/>
      <c r="D112" s="141"/>
      <c r="E112" s="140"/>
      <c r="F112" s="140"/>
      <c r="G112" s="140"/>
      <c r="H112" s="141"/>
      <c r="I112" s="141"/>
      <c r="J112" s="141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ht="15.75" customHeight="1">
      <c r="A113" s="140"/>
      <c r="B113" s="140"/>
      <c r="C113" s="141"/>
      <c r="D113" s="141"/>
      <c r="E113" s="140"/>
      <c r="F113" s="140"/>
      <c r="G113" s="140"/>
      <c r="H113" s="141"/>
      <c r="I113" s="141"/>
      <c r="J113" s="141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ht="15.75" customHeight="1">
      <c r="A114" s="140"/>
      <c r="B114" s="140"/>
      <c r="C114" s="141"/>
      <c r="D114" s="141"/>
      <c r="E114" s="140"/>
      <c r="F114" s="140"/>
      <c r="G114" s="140"/>
      <c r="H114" s="141"/>
      <c r="I114" s="141"/>
      <c r="J114" s="141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ht="15.75" customHeight="1">
      <c r="A115" s="140"/>
      <c r="B115" s="140"/>
      <c r="C115" s="141"/>
      <c r="D115" s="141"/>
      <c r="E115" s="140"/>
      <c r="F115" s="140"/>
      <c r="G115" s="140"/>
      <c r="H115" s="141"/>
      <c r="I115" s="141"/>
      <c r="J115" s="141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ht="15.75" customHeight="1">
      <c r="A116" s="140"/>
      <c r="B116" s="140"/>
      <c r="C116" s="141"/>
      <c r="D116" s="141"/>
      <c r="E116" s="140"/>
      <c r="F116" s="140"/>
      <c r="G116" s="140"/>
      <c r="H116" s="141"/>
      <c r="I116" s="141"/>
      <c r="J116" s="141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ht="15.75" customHeight="1">
      <c r="A117" s="140"/>
      <c r="B117" s="140"/>
      <c r="C117" s="141"/>
      <c r="D117" s="141"/>
      <c r="E117" s="140"/>
      <c r="F117" s="140"/>
      <c r="G117" s="140"/>
      <c r="H117" s="141"/>
      <c r="I117" s="141"/>
      <c r="J117" s="141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ht="15.75" customHeight="1">
      <c r="A118" s="140"/>
      <c r="B118" s="140"/>
      <c r="C118" s="141"/>
      <c r="D118" s="141"/>
      <c r="E118" s="140"/>
      <c r="F118" s="140"/>
      <c r="G118" s="140"/>
      <c r="H118" s="141"/>
      <c r="I118" s="141"/>
      <c r="J118" s="141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ht="15.75" customHeight="1">
      <c r="A119" s="140"/>
      <c r="B119" s="140"/>
      <c r="C119" s="141"/>
      <c r="D119" s="141"/>
      <c r="E119" s="140"/>
      <c r="F119" s="140"/>
      <c r="G119" s="140"/>
      <c r="H119" s="141"/>
      <c r="I119" s="141"/>
      <c r="J119" s="141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15.75" customHeight="1">
      <c r="A120" s="140"/>
      <c r="B120" s="140"/>
      <c r="C120" s="141"/>
      <c r="D120" s="141"/>
      <c r="E120" s="140"/>
      <c r="F120" s="140"/>
      <c r="G120" s="140"/>
      <c r="H120" s="141"/>
      <c r="I120" s="141"/>
      <c r="J120" s="141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15.75" customHeight="1">
      <c r="A121" s="140"/>
      <c r="B121" s="140"/>
      <c r="C121" s="141"/>
      <c r="D121" s="141"/>
      <c r="E121" s="140"/>
      <c r="F121" s="140"/>
      <c r="G121" s="140"/>
      <c r="H121" s="141"/>
      <c r="I121" s="141"/>
      <c r="J121" s="141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ht="15.75" customHeight="1">
      <c r="A122" s="140"/>
      <c r="B122" s="140"/>
      <c r="C122" s="141"/>
      <c r="D122" s="141"/>
      <c r="E122" s="140"/>
      <c r="F122" s="140"/>
      <c r="G122" s="140"/>
      <c r="H122" s="141"/>
      <c r="I122" s="141"/>
      <c r="J122" s="141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ht="15.75" customHeight="1">
      <c r="A123" s="140"/>
      <c r="B123" s="140"/>
      <c r="C123" s="141"/>
      <c r="D123" s="141"/>
      <c r="E123" s="140"/>
      <c r="F123" s="140"/>
      <c r="G123" s="140"/>
      <c r="H123" s="141"/>
      <c r="I123" s="141"/>
      <c r="J123" s="14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ht="15.75" customHeight="1">
      <c r="A124" s="140"/>
      <c r="B124" s="140"/>
      <c r="C124" s="141"/>
      <c r="D124" s="141"/>
      <c r="E124" s="140"/>
      <c r="F124" s="140"/>
      <c r="G124" s="140"/>
      <c r="H124" s="141"/>
      <c r="I124" s="141"/>
      <c r="J124" s="141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ht="15.75" customHeight="1">
      <c r="A125" s="140"/>
      <c r="B125" s="140"/>
      <c r="C125" s="141"/>
      <c r="D125" s="141"/>
      <c r="E125" s="140"/>
      <c r="F125" s="140"/>
      <c r="G125" s="140"/>
      <c r="H125" s="141"/>
      <c r="I125" s="141"/>
      <c r="J125" s="141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ht="15.75" customHeight="1">
      <c r="A126" s="140"/>
      <c r="B126" s="140"/>
      <c r="C126" s="141"/>
      <c r="D126" s="141"/>
      <c r="E126" s="140"/>
      <c r="F126" s="140"/>
      <c r="G126" s="140"/>
      <c r="H126" s="141"/>
      <c r="I126" s="141"/>
      <c r="J126" s="141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ht="15.75" customHeight="1">
      <c r="A127" s="140"/>
      <c r="B127" s="140"/>
      <c r="C127" s="141"/>
      <c r="D127" s="141"/>
      <c r="E127" s="140"/>
      <c r="F127" s="140"/>
      <c r="G127" s="140"/>
      <c r="H127" s="141"/>
      <c r="I127" s="141"/>
      <c r="J127" s="141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ht="15.75" customHeight="1">
      <c r="A128" s="140"/>
      <c r="B128" s="140"/>
      <c r="C128" s="141"/>
      <c r="D128" s="141"/>
      <c r="E128" s="140"/>
      <c r="F128" s="140"/>
      <c r="G128" s="140"/>
      <c r="H128" s="141"/>
      <c r="I128" s="141"/>
      <c r="J128" s="141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ht="15.75" customHeight="1">
      <c r="A129" s="140"/>
      <c r="B129" s="140"/>
      <c r="C129" s="141"/>
      <c r="D129" s="141"/>
      <c r="E129" s="140"/>
      <c r="F129" s="140"/>
      <c r="G129" s="140"/>
      <c r="H129" s="141"/>
      <c r="I129" s="141"/>
      <c r="J129" s="141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ht="15.75" customHeight="1">
      <c r="A130" s="140"/>
      <c r="B130" s="140"/>
      <c r="C130" s="141"/>
      <c r="D130" s="141"/>
      <c r="E130" s="140"/>
      <c r="F130" s="140"/>
      <c r="G130" s="140"/>
      <c r="H130" s="141"/>
      <c r="I130" s="141"/>
      <c r="J130" s="141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ht="15.75" customHeight="1">
      <c r="A131" s="140"/>
      <c r="B131" s="140"/>
      <c r="C131" s="141"/>
      <c r="D131" s="141"/>
      <c r="E131" s="140"/>
      <c r="F131" s="140"/>
      <c r="G131" s="140"/>
      <c r="H131" s="141"/>
      <c r="I131" s="141"/>
      <c r="J131" s="141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ht="15.75" customHeight="1">
      <c r="A132" s="140"/>
      <c r="B132" s="140"/>
      <c r="C132" s="141"/>
      <c r="D132" s="141"/>
      <c r="E132" s="140"/>
      <c r="F132" s="140"/>
      <c r="G132" s="140"/>
      <c r="H132" s="141"/>
      <c r="I132" s="141"/>
      <c r="J132" s="141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ht="15.75" customHeight="1">
      <c r="A133" s="140"/>
      <c r="B133" s="140"/>
      <c r="C133" s="141"/>
      <c r="D133" s="141"/>
      <c r="E133" s="140"/>
      <c r="F133" s="140"/>
      <c r="G133" s="140"/>
      <c r="H133" s="141"/>
      <c r="I133" s="141"/>
      <c r="J133" s="141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ht="15.75" customHeight="1">
      <c r="A134" s="140"/>
      <c r="B134" s="140"/>
      <c r="C134" s="141"/>
      <c r="D134" s="141"/>
      <c r="E134" s="140"/>
      <c r="F134" s="140"/>
      <c r="G134" s="140"/>
      <c r="H134" s="141"/>
      <c r="I134" s="141"/>
      <c r="J134" s="141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ht="15.75" customHeight="1">
      <c r="A135" s="140"/>
      <c r="B135" s="140"/>
      <c r="C135" s="141"/>
      <c r="D135" s="141"/>
      <c r="E135" s="140"/>
      <c r="F135" s="140"/>
      <c r="G135" s="140"/>
      <c r="H135" s="141"/>
      <c r="I135" s="141"/>
      <c r="J135" s="141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ht="15.75" customHeight="1">
      <c r="A136" s="140"/>
      <c r="B136" s="140"/>
      <c r="C136" s="141"/>
      <c r="D136" s="141"/>
      <c r="E136" s="140"/>
      <c r="F136" s="140"/>
      <c r="G136" s="140"/>
      <c r="H136" s="141"/>
      <c r="I136" s="141"/>
      <c r="J136" s="141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ht="15.75" customHeight="1">
      <c r="A137" s="140"/>
      <c r="B137" s="140"/>
      <c r="C137" s="141"/>
      <c r="D137" s="141"/>
      <c r="E137" s="140"/>
      <c r="F137" s="140"/>
      <c r="G137" s="140"/>
      <c r="H137" s="141"/>
      <c r="I137" s="141"/>
      <c r="J137" s="141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ht="15.75" customHeight="1">
      <c r="A138" s="140"/>
      <c r="B138" s="140"/>
      <c r="C138" s="141"/>
      <c r="D138" s="141"/>
      <c r="E138" s="140"/>
      <c r="F138" s="140"/>
      <c r="G138" s="140"/>
      <c r="H138" s="141"/>
      <c r="I138" s="141"/>
      <c r="J138" s="141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ht="15.75" customHeight="1">
      <c r="A139" s="140"/>
      <c r="B139" s="140"/>
      <c r="C139" s="141"/>
      <c r="D139" s="141"/>
      <c r="E139" s="140"/>
      <c r="F139" s="140"/>
      <c r="G139" s="140"/>
      <c r="H139" s="141"/>
      <c r="I139" s="141"/>
      <c r="J139" s="141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ht="15.75" customHeight="1">
      <c r="A140" s="140"/>
      <c r="B140" s="140"/>
      <c r="C140" s="141"/>
      <c r="D140" s="141"/>
      <c r="E140" s="140"/>
      <c r="F140" s="140"/>
      <c r="G140" s="140"/>
      <c r="H140" s="141"/>
      <c r="I140" s="141"/>
      <c r="J140" s="141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ht="15.75" customHeight="1">
      <c r="A141" s="140"/>
      <c r="B141" s="140"/>
      <c r="C141" s="141"/>
      <c r="D141" s="141"/>
      <c r="E141" s="140"/>
      <c r="F141" s="140"/>
      <c r="G141" s="140"/>
      <c r="H141" s="141"/>
      <c r="I141" s="141"/>
      <c r="J141" s="141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ht="15.75" customHeight="1">
      <c r="A142" s="140"/>
      <c r="B142" s="140"/>
      <c r="C142" s="141"/>
      <c r="D142" s="141"/>
      <c r="E142" s="140"/>
      <c r="F142" s="140"/>
      <c r="G142" s="140"/>
      <c r="H142" s="141"/>
      <c r="I142" s="141"/>
      <c r="J142" s="141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ht="15.75" customHeight="1">
      <c r="A143" s="140"/>
      <c r="B143" s="140"/>
      <c r="C143" s="141"/>
      <c r="D143" s="141"/>
      <c r="E143" s="140"/>
      <c r="F143" s="140"/>
      <c r="G143" s="140"/>
      <c r="H143" s="141"/>
      <c r="I143" s="141"/>
      <c r="J143" s="141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ht="15.75" customHeight="1">
      <c r="A144" s="140"/>
      <c r="B144" s="140"/>
      <c r="C144" s="141"/>
      <c r="D144" s="141"/>
      <c r="E144" s="140"/>
      <c r="F144" s="140"/>
      <c r="G144" s="140"/>
      <c r="H144" s="141"/>
      <c r="I144" s="141"/>
      <c r="J144" s="141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ht="15.75" customHeight="1">
      <c r="A145" s="140"/>
      <c r="B145" s="140"/>
      <c r="C145" s="141"/>
      <c r="D145" s="141"/>
      <c r="E145" s="140"/>
      <c r="F145" s="140"/>
      <c r="G145" s="140"/>
      <c r="H145" s="141"/>
      <c r="I145" s="141"/>
      <c r="J145" s="141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ht="15.75" customHeight="1">
      <c r="A146" s="140"/>
      <c r="B146" s="140"/>
      <c r="C146" s="141"/>
      <c r="D146" s="141"/>
      <c r="E146" s="140"/>
      <c r="F146" s="140"/>
      <c r="G146" s="140"/>
      <c r="H146" s="141"/>
      <c r="I146" s="141"/>
      <c r="J146" s="141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ht="15.75" customHeight="1">
      <c r="A147" s="140"/>
      <c r="B147" s="140"/>
      <c r="C147" s="141"/>
      <c r="D147" s="141"/>
      <c r="E147" s="140"/>
      <c r="F147" s="140"/>
      <c r="G147" s="140"/>
      <c r="H147" s="141"/>
      <c r="I147" s="141"/>
      <c r="J147" s="141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ht="15.75" customHeight="1">
      <c r="A148" s="140"/>
      <c r="B148" s="140"/>
      <c r="C148" s="141"/>
      <c r="D148" s="141"/>
      <c r="E148" s="140"/>
      <c r="F148" s="140"/>
      <c r="G148" s="140"/>
      <c r="H148" s="141"/>
      <c r="I148" s="141"/>
      <c r="J148" s="141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ht="15.75" customHeight="1">
      <c r="A149" s="140"/>
      <c r="B149" s="140"/>
      <c r="C149" s="141"/>
      <c r="D149" s="141"/>
      <c r="E149" s="140"/>
      <c r="F149" s="140"/>
      <c r="G149" s="140"/>
      <c r="H149" s="141"/>
      <c r="I149" s="141"/>
      <c r="J149" s="141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ht="15.75" customHeight="1">
      <c r="A150" s="140"/>
      <c r="B150" s="140"/>
      <c r="C150" s="141"/>
      <c r="D150" s="141"/>
      <c r="E150" s="140"/>
      <c r="F150" s="140"/>
      <c r="G150" s="140"/>
      <c r="H150" s="141"/>
      <c r="I150" s="141"/>
      <c r="J150" s="141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ht="15.75" customHeight="1">
      <c r="A151" s="140"/>
      <c r="B151" s="140"/>
      <c r="C151" s="141"/>
      <c r="D151" s="141"/>
      <c r="E151" s="140"/>
      <c r="F151" s="140"/>
      <c r="G151" s="140"/>
      <c r="H151" s="141"/>
      <c r="I151" s="141"/>
      <c r="J151" s="141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ht="15.75" customHeight="1">
      <c r="A152" s="140"/>
      <c r="B152" s="140"/>
      <c r="C152" s="141"/>
      <c r="D152" s="141"/>
      <c r="E152" s="140"/>
      <c r="F152" s="140"/>
      <c r="G152" s="140"/>
      <c r="H152" s="141"/>
      <c r="I152" s="141"/>
      <c r="J152" s="141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ht="15.75" customHeight="1">
      <c r="A153" s="140"/>
      <c r="B153" s="140"/>
      <c r="C153" s="141"/>
      <c r="D153" s="141"/>
      <c r="E153" s="140"/>
      <c r="F153" s="140"/>
      <c r="G153" s="140"/>
      <c r="H153" s="141"/>
      <c r="I153" s="141"/>
      <c r="J153" s="141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ht="15.75" customHeight="1">
      <c r="A154" s="140"/>
      <c r="B154" s="140"/>
      <c r="C154" s="141"/>
      <c r="D154" s="141"/>
      <c r="E154" s="140"/>
      <c r="F154" s="140"/>
      <c r="G154" s="140"/>
      <c r="H154" s="141"/>
      <c r="I154" s="141"/>
      <c r="J154" s="141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ht="15.75" customHeight="1">
      <c r="A155" s="140"/>
      <c r="B155" s="140"/>
      <c r="C155" s="141"/>
      <c r="D155" s="141"/>
      <c r="E155" s="140"/>
      <c r="F155" s="140"/>
      <c r="G155" s="140"/>
      <c r="H155" s="141"/>
      <c r="I155" s="141"/>
      <c r="J155" s="141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ht="15.75" customHeight="1">
      <c r="A156" s="140"/>
      <c r="B156" s="140"/>
      <c r="C156" s="141"/>
      <c r="D156" s="141"/>
      <c r="E156" s="140"/>
      <c r="F156" s="140"/>
      <c r="G156" s="140"/>
      <c r="H156" s="141"/>
      <c r="I156" s="141"/>
      <c r="J156" s="141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ht="15.75" customHeight="1">
      <c r="A157" s="140"/>
      <c r="B157" s="140"/>
      <c r="C157" s="141"/>
      <c r="D157" s="141"/>
      <c r="E157" s="140"/>
      <c r="F157" s="140"/>
      <c r="G157" s="140"/>
      <c r="H157" s="141"/>
      <c r="I157" s="141"/>
      <c r="J157" s="141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ht="15.75" customHeight="1">
      <c r="A158" s="140"/>
      <c r="B158" s="140"/>
      <c r="C158" s="141"/>
      <c r="D158" s="141"/>
      <c r="E158" s="140"/>
      <c r="F158" s="140"/>
      <c r="G158" s="140"/>
      <c r="H158" s="141"/>
      <c r="I158" s="141"/>
      <c r="J158" s="141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15.75" customHeight="1">
      <c r="A159" s="140"/>
      <c r="B159" s="140"/>
      <c r="C159" s="141"/>
      <c r="D159" s="141"/>
      <c r="E159" s="140"/>
      <c r="F159" s="140"/>
      <c r="G159" s="140"/>
      <c r="H159" s="141"/>
      <c r="I159" s="141"/>
      <c r="J159" s="141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15.75" customHeight="1">
      <c r="A160" s="140"/>
      <c r="B160" s="140"/>
      <c r="C160" s="141"/>
      <c r="D160" s="141"/>
      <c r="E160" s="140"/>
      <c r="F160" s="140"/>
      <c r="G160" s="140"/>
      <c r="H160" s="141"/>
      <c r="I160" s="141"/>
      <c r="J160" s="141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ht="15.75" customHeight="1">
      <c r="A161" s="140"/>
      <c r="B161" s="140"/>
      <c r="C161" s="141"/>
      <c r="D161" s="141"/>
      <c r="E161" s="140"/>
      <c r="F161" s="140"/>
      <c r="G161" s="140"/>
      <c r="H161" s="141"/>
      <c r="I161" s="141"/>
      <c r="J161" s="141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ht="15.75" customHeight="1">
      <c r="A162" s="140"/>
      <c r="B162" s="140"/>
      <c r="C162" s="141"/>
      <c r="D162" s="141"/>
      <c r="E162" s="140"/>
      <c r="F162" s="140"/>
      <c r="G162" s="140"/>
      <c r="H162" s="141"/>
      <c r="I162" s="141"/>
      <c r="J162" s="141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ht="15.75" customHeight="1">
      <c r="A163" s="140"/>
      <c r="B163" s="140"/>
      <c r="C163" s="141"/>
      <c r="D163" s="141"/>
      <c r="E163" s="140"/>
      <c r="F163" s="140"/>
      <c r="G163" s="140"/>
      <c r="H163" s="141"/>
      <c r="I163" s="141"/>
      <c r="J163" s="141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ht="15.75" customHeight="1">
      <c r="A164" s="140"/>
      <c r="B164" s="140"/>
      <c r="C164" s="141"/>
      <c r="D164" s="141"/>
      <c r="E164" s="140"/>
      <c r="F164" s="140"/>
      <c r="G164" s="140"/>
      <c r="H164" s="141"/>
      <c r="I164" s="141"/>
      <c r="J164" s="141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ht="15.75" customHeight="1">
      <c r="A165" s="140"/>
      <c r="B165" s="140"/>
      <c r="C165" s="141"/>
      <c r="D165" s="141"/>
      <c r="E165" s="140"/>
      <c r="F165" s="140"/>
      <c r="G165" s="140"/>
      <c r="H165" s="141"/>
      <c r="I165" s="141"/>
      <c r="J165" s="141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ht="15.75" customHeight="1">
      <c r="A166" s="140"/>
      <c r="B166" s="140"/>
      <c r="C166" s="141"/>
      <c r="D166" s="141"/>
      <c r="E166" s="140"/>
      <c r="F166" s="140"/>
      <c r="G166" s="140"/>
      <c r="H166" s="141"/>
      <c r="I166" s="141"/>
      <c r="J166" s="141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ht="15.75" customHeight="1">
      <c r="A167" s="140"/>
      <c r="B167" s="140"/>
      <c r="C167" s="141"/>
      <c r="D167" s="141"/>
      <c r="E167" s="140"/>
      <c r="F167" s="140"/>
      <c r="G167" s="140"/>
      <c r="H167" s="141"/>
      <c r="I167" s="141"/>
      <c r="J167" s="141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ht="15.75" customHeight="1">
      <c r="A168" s="140"/>
      <c r="B168" s="140"/>
      <c r="C168" s="141"/>
      <c r="D168" s="141"/>
      <c r="E168" s="140"/>
      <c r="F168" s="140"/>
      <c r="G168" s="140"/>
      <c r="H168" s="141"/>
      <c r="I168" s="141"/>
      <c r="J168" s="141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ht="15.75" customHeight="1">
      <c r="A169" s="140"/>
      <c r="B169" s="140"/>
      <c r="C169" s="141"/>
      <c r="D169" s="141"/>
      <c r="E169" s="140"/>
      <c r="F169" s="140"/>
      <c r="G169" s="140"/>
      <c r="H169" s="141"/>
      <c r="I169" s="141"/>
      <c r="J169" s="141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ht="15.75" customHeight="1">
      <c r="A170" s="140"/>
      <c r="B170" s="140"/>
      <c r="C170" s="141"/>
      <c r="D170" s="141"/>
      <c r="E170" s="140"/>
      <c r="F170" s="140"/>
      <c r="G170" s="140"/>
      <c r="H170" s="141"/>
      <c r="I170" s="141"/>
      <c r="J170" s="141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ht="15.75" customHeight="1">
      <c r="A171" s="140"/>
      <c r="B171" s="140"/>
      <c r="C171" s="141"/>
      <c r="D171" s="141"/>
      <c r="E171" s="140"/>
      <c r="F171" s="140"/>
      <c r="G171" s="140"/>
      <c r="H171" s="141"/>
      <c r="I171" s="141"/>
      <c r="J171" s="141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ht="15.75" customHeight="1">
      <c r="A172" s="140"/>
      <c r="B172" s="140"/>
      <c r="C172" s="141"/>
      <c r="D172" s="141"/>
      <c r="E172" s="140"/>
      <c r="F172" s="140"/>
      <c r="G172" s="140"/>
      <c r="H172" s="141"/>
      <c r="I172" s="141"/>
      <c r="J172" s="141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ht="15.75" customHeight="1">
      <c r="A173" s="140"/>
      <c r="B173" s="140"/>
      <c r="C173" s="141"/>
      <c r="D173" s="141"/>
      <c r="E173" s="140"/>
      <c r="F173" s="140"/>
      <c r="G173" s="140"/>
      <c r="H173" s="141"/>
      <c r="I173" s="141"/>
      <c r="J173" s="141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ht="15.75" customHeight="1">
      <c r="A174" s="140"/>
      <c r="B174" s="140"/>
      <c r="C174" s="141"/>
      <c r="D174" s="141"/>
      <c r="E174" s="140"/>
      <c r="F174" s="140"/>
      <c r="G174" s="140"/>
      <c r="H174" s="141"/>
      <c r="I174" s="141"/>
      <c r="J174" s="141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ht="15.75" customHeight="1">
      <c r="A175" s="140"/>
      <c r="B175" s="140"/>
      <c r="C175" s="141"/>
      <c r="D175" s="141"/>
      <c r="E175" s="140"/>
      <c r="F175" s="140"/>
      <c r="G175" s="140"/>
      <c r="H175" s="141"/>
      <c r="I175" s="141"/>
      <c r="J175" s="14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ht="15.75" customHeight="1">
      <c r="A176" s="140"/>
      <c r="B176" s="140"/>
      <c r="C176" s="141"/>
      <c r="D176" s="141"/>
      <c r="E176" s="140"/>
      <c r="F176" s="140"/>
      <c r="G176" s="140"/>
      <c r="H176" s="141"/>
      <c r="I176" s="141"/>
      <c r="J176" s="141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ht="15.75" customHeight="1">
      <c r="A177" s="140"/>
      <c r="B177" s="140"/>
      <c r="C177" s="141"/>
      <c r="D177" s="141"/>
      <c r="E177" s="140"/>
      <c r="F177" s="140"/>
      <c r="G177" s="140"/>
      <c r="H177" s="141"/>
      <c r="I177" s="141"/>
      <c r="J177" s="141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ht="15.75" customHeight="1">
      <c r="A178" s="140"/>
      <c r="B178" s="140"/>
      <c r="C178" s="141"/>
      <c r="D178" s="141"/>
      <c r="E178" s="140"/>
      <c r="F178" s="140"/>
      <c r="G178" s="140"/>
      <c r="H178" s="141"/>
      <c r="I178" s="141"/>
      <c r="J178" s="141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ht="15.75" customHeight="1">
      <c r="A179" s="140"/>
      <c r="B179" s="140"/>
      <c r="C179" s="141"/>
      <c r="D179" s="141"/>
      <c r="E179" s="140"/>
      <c r="F179" s="140"/>
      <c r="G179" s="140"/>
      <c r="H179" s="141"/>
      <c r="I179" s="141"/>
      <c r="J179" s="141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ht="15.75" customHeight="1">
      <c r="A180" s="140"/>
      <c r="B180" s="140"/>
      <c r="C180" s="141"/>
      <c r="D180" s="141"/>
      <c r="E180" s="140"/>
      <c r="F180" s="140"/>
      <c r="G180" s="140"/>
      <c r="H180" s="141"/>
      <c r="I180" s="141"/>
      <c r="J180" s="141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ht="15.75" customHeight="1">
      <c r="A181" s="140"/>
      <c r="B181" s="140"/>
      <c r="C181" s="141"/>
      <c r="D181" s="141"/>
      <c r="E181" s="140"/>
      <c r="F181" s="140"/>
      <c r="G181" s="140"/>
      <c r="H181" s="141"/>
      <c r="I181" s="141"/>
      <c r="J181" s="141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ht="15.75" customHeight="1">
      <c r="A182" s="140"/>
      <c r="B182" s="140"/>
      <c r="C182" s="141"/>
      <c r="D182" s="141"/>
      <c r="E182" s="140"/>
      <c r="F182" s="140"/>
      <c r="G182" s="140"/>
      <c r="H182" s="141"/>
      <c r="I182" s="141"/>
      <c r="J182" s="141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ht="15.75" customHeight="1">
      <c r="A183" s="140"/>
      <c r="B183" s="140"/>
      <c r="C183" s="141"/>
      <c r="D183" s="141"/>
      <c r="E183" s="140"/>
      <c r="F183" s="140"/>
      <c r="G183" s="140"/>
      <c r="H183" s="141"/>
      <c r="I183" s="141"/>
      <c r="J183" s="141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ht="15.75" customHeight="1">
      <c r="A184" s="140"/>
      <c r="B184" s="140"/>
      <c r="C184" s="141"/>
      <c r="D184" s="141"/>
      <c r="E184" s="140"/>
      <c r="F184" s="140"/>
      <c r="G184" s="140"/>
      <c r="H184" s="141"/>
      <c r="I184" s="141"/>
      <c r="J184" s="141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ht="15.75" customHeight="1">
      <c r="A185" s="140"/>
      <c r="B185" s="140"/>
      <c r="C185" s="141"/>
      <c r="D185" s="141"/>
      <c r="E185" s="140"/>
      <c r="F185" s="140"/>
      <c r="G185" s="140"/>
      <c r="H185" s="141"/>
      <c r="I185" s="141"/>
      <c r="J185" s="141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ht="15.75" customHeight="1">
      <c r="A186" s="140"/>
      <c r="B186" s="140"/>
      <c r="C186" s="141"/>
      <c r="D186" s="141"/>
      <c r="E186" s="140"/>
      <c r="F186" s="140"/>
      <c r="G186" s="140"/>
      <c r="H186" s="141"/>
      <c r="I186" s="141"/>
      <c r="J186" s="141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ht="15.75" customHeight="1">
      <c r="A187" s="140"/>
      <c r="B187" s="140"/>
      <c r="C187" s="141"/>
      <c r="D187" s="141"/>
      <c r="E187" s="140"/>
      <c r="F187" s="140"/>
      <c r="G187" s="140"/>
      <c r="H187" s="141"/>
      <c r="I187" s="141"/>
      <c r="J187" s="141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ht="15.75" customHeight="1">
      <c r="A188" s="140"/>
      <c r="B188" s="140"/>
      <c r="C188" s="141"/>
      <c r="D188" s="141"/>
      <c r="E188" s="140"/>
      <c r="F188" s="140"/>
      <c r="G188" s="140"/>
      <c r="H188" s="141"/>
      <c r="I188" s="141"/>
      <c r="J188" s="141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ht="15.75" customHeight="1">
      <c r="A189" s="140"/>
      <c r="B189" s="140"/>
      <c r="C189" s="141"/>
      <c r="D189" s="141"/>
      <c r="E189" s="140"/>
      <c r="F189" s="140"/>
      <c r="G189" s="140"/>
      <c r="H189" s="141"/>
      <c r="I189" s="141"/>
      <c r="J189" s="141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ht="15.75" customHeight="1">
      <c r="A190" s="140"/>
      <c r="B190" s="140"/>
      <c r="C190" s="141"/>
      <c r="D190" s="141"/>
      <c r="E190" s="140"/>
      <c r="F190" s="140"/>
      <c r="G190" s="140"/>
      <c r="H190" s="141"/>
      <c r="I190" s="141"/>
      <c r="J190" s="141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ht="15.75" customHeight="1">
      <c r="A191" s="140"/>
      <c r="B191" s="140"/>
      <c r="C191" s="141"/>
      <c r="D191" s="141"/>
      <c r="E191" s="140"/>
      <c r="F191" s="140"/>
      <c r="G191" s="140"/>
      <c r="H191" s="141"/>
      <c r="I191" s="141"/>
      <c r="J191" s="141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ht="15.75" customHeight="1">
      <c r="A192" s="140"/>
      <c r="B192" s="140"/>
      <c r="C192" s="141"/>
      <c r="D192" s="141"/>
      <c r="E192" s="140"/>
      <c r="F192" s="140"/>
      <c r="G192" s="140"/>
      <c r="H192" s="141"/>
      <c r="I192" s="141"/>
      <c r="J192" s="141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ht="15.75" customHeight="1">
      <c r="A193" s="140"/>
      <c r="B193" s="140"/>
      <c r="C193" s="141"/>
      <c r="D193" s="141"/>
      <c r="E193" s="140"/>
      <c r="F193" s="140"/>
      <c r="G193" s="140"/>
      <c r="H193" s="141"/>
      <c r="I193" s="141"/>
      <c r="J193" s="141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ht="15.75" customHeight="1">
      <c r="A194" s="140"/>
      <c r="B194" s="140"/>
      <c r="C194" s="141"/>
      <c r="D194" s="141"/>
      <c r="E194" s="140"/>
      <c r="F194" s="140"/>
      <c r="G194" s="140"/>
      <c r="H194" s="141"/>
      <c r="I194" s="141"/>
      <c r="J194" s="141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ht="15.75" customHeight="1">
      <c r="A195" s="140"/>
      <c r="B195" s="140"/>
      <c r="C195" s="141"/>
      <c r="D195" s="141"/>
      <c r="E195" s="140"/>
      <c r="F195" s="140"/>
      <c r="G195" s="140"/>
      <c r="H195" s="141"/>
      <c r="I195" s="141"/>
      <c r="J195" s="141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ht="15.75" customHeight="1">
      <c r="A196" s="140"/>
      <c r="B196" s="140"/>
      <c r="C196" s="141"/>
      <c r="D196" s="141"/>
      <c r="E196" s="140"/>
      <c r="F196" s="140"/>
      <c r="G196" s="140"/>
      <c r="H196" s="141"/>
      <c r="I196" s="141"/>
      <c r="J196" s="141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ht="15.75" customHeight="1">
      <c r="A197" s="140"/>
      <c r="B197" s="140"/>
      <c r="C197" s="141"/>
      <c r="D197" s="141"/>
      <c r="E197" s="140"/>
      <c r="F197" s="140"/>
      <c r="G197" s="140"/>
      <c r="H197" s="141"/>
      <c r="I197" s="141"/>
      <c r="J197" s="141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ht="15.75" customHeight="1">
      <c r="A198" s="140"/>
      <c r="B198" s="140"/>
      <c r="C198" s="141"/>
      <c r="D198" s="141"/>
      <c r="E198" s="140"/>
      <c r="F198" s="140"/>
      <c r="G198" s="140"/>
      <c r="H198" s="141"/>
      <c r="I198" s="141"/>
      <c r="J198" s="141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ht="15.75" customHeight="1">
      <c r="A199" s="140"/>
      <c r="B199" s="140"/>
      <c r="C199" s="141"/>
      <c r="D199" s="141"/>
      <c r="E199" s="140"/>
      <c r="F199" s="140"/>
      <c r="G199" s="140"/>
      <c r="H199" s="141"/>
      <c r="I199" s="141"/>
      <c r="J199" s="141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ht="15.75" customHeight="1">
      <c r="A200" s="140"/>
      <c r="B200" s="140"/>
      <c r="C200" s="141"/>
      <c r="D200" s="141"/>
      <c r="E200" s="140"/>
      <c r="F200" s="140"/>
      <c r="G200" s="140"/>
      <c r="H200" s="141"/>
      <c r="I200" s="141"/>
      <c r="J200" s="141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ht="15.75" customHeight="1">
      <c r="A201" s="140"/>
      <c r="B201" s="140"/>
      <c r="C201" s="141"/>
      <c r="D201" s="141"/>
      <c r="E201" s="140"/>
      <c r="F201" s="140"/>
      <c r="G201" s="140"/>
      <c r="H201" s="141"/>
      <c r="I201" s="141"/>
      <c r="J201" s="141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ht="15.75" customHeight="1">
      <c r="A202" s="140"/>
      <c r="B202" s="140"/>
      <c r="C202" s="141"/>
      <c r="D202" s="141"/>
      <c r="E202" s="140"/>
      <c r="F202" s="140"/>
      <c r="G202" s="140"/>
      <c r="H202" s="141"/>
      <c r="I202" s="141"/>
      <c r="J202" s="141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ht="15.75" customHeight="1">
      <c r="A203" s="140"/>
      <c r="B203" s="140"/>
      <c r="C203" s="141"/>
      <c r="D203" s="141"/>
      <c r="E203" s="140"/>
      <c r="F203" s="140"/>
      <c r="G203" s="140"/>
      <c r="H203" s="141"/>
      <c r="I203" s="141"/>
      <c r="J203" s="141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ht="15.75" customHeight="1">
      <c r="A204" s="140"/>
      <c r="B204" s="140"/>
      <c r="C204" s="141"/>
      <c r="D204" s="141"/>
      <c r="E204" s="140"/>
      <c r="F204" s="140"/>
      <c r="G204" s="140"/>
      <c r="H204" s="141"/>
      <c r="I204" s="141"/>
      <c r="J204" s="141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ht="15.75" customHeight="1">
      <c r="A205" s="140"/>
      <c r="B205" s="140"/>
      <c r="C205" s="141"/>
      <c r="D205" s="141"/>
      <c r="E205" s="140"/>
      <c r="F205" s="140"/>
      <c r="G205" s="140"/>
      <c r="H205" s="141"/>
      <c r="I205" s="141"/>
      <c r="J205" s="141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ht="15.75" customHeight="1">
      <c r="A206" s="140"/>
      <c r="B206" s="140"/>
      <c r="C206" s="141"/>
      <c r="D206" s="141"/>
      <c r="E206" s="140"/>
      <c r="F206" s="140"/>
      <c r="G206" s="140"/>
      <c r="H206" s="141"/>
      <c r="I206" s="141"/>
      <c r="J206" s="141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ht="15.75" customHeight="1">
      <c r="A207" s="140"/>
      <c r="B207" s="140"/>
      <c r="C207" s="141"/>
      <c r="D207" s="141"/>
      <c r="E207" s="140"/>
      <c r="F207" s="140"/>
      <c r="G207" s="140"/>
      <c r="H207" s="141"/>
      <c r="I207" s="141"/>
      <c r="J207" s="141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ht="15.75" customHeight="1">
      <c r="A208" s="140"/>
      <c r="B208" s="140"/>
      <c r="C208" s="141"/>
      <c r="D208" s="141"/>
      <c r="E208" s="140"/>
      <c r="F208" s="140"/>
      <c r="G208" s="140"/>
      <c r="H208" s="141"/>
      <c r="I208" s="141"/>
      <c r="J208" s="141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ht="15.75" customHeight="1">
      <c r="A209" s="140"/>
      <c r="B209" s="140"/>
      <c r="C209" s="141"/>
      <c r="D209" s="141"/>
      <c r="E209" s="140"/>
      <c r="F209" s="140"/>
      <c r="G209" s="140"/>
      <c r="H209" s="141"/>
      <c r="I209" s="141"/>
      <c r="J209" s="141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15.75" customHeight="1">
      <c r="A210" s="140"/>
      <c r="B210" s="140"/>
      <c r="C210" s="141"/>
      <c r="D210" s="141"/>
      <c r="E210" s="140"/>
      <c r="F210" s="140"/>
      <c r="G210" s="140"/>
      <c r="H210" s="141"/>
      <c r="I210" s="141"/>
      <c r="J210" s="141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ht="15.75" customHeight="1">
      <c r="A211" s="140"/>
      <c r="B211" s="140"/>
      <c r="C211" s="141"/>
      <c r="D211" s="141"/>
      <c r="E211" s="140"/>
      <c r="F211" s="140"/>
      <c r="G211" s="140"/>
      <c r="H211" s="141"/>
      <c r="I211" s="141"/>
      <c r="J211" s="141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15.75" customHeight="1">
      <c r="A212" s="140"/>
      <c r="B212" s="140"/>
      <c r="C212" s="141"/>
      <c r="D212" s="141"/>
      <c r="E212" s="140"/>
      <c r="F212" s="140"/>
      <c r="G212" s="140"/>
      <c r="H212" s="141"/>
      <c r="I212" s="141"/>
      <c r="J212" s="141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15.75" customHeight="1">
      <c r="A213" s="140"/>
      <c r="B213" s="140"/>
      <c r="C213" s="141"/>
      <c r="D213" s="141"/>
      <c r="E213" s="140"/>
      <c r="F213" s="140"/>
      <c r="G213" s="140"/>
      <c r="H213" s="141"/>
      <c r="I213" s="141"/>
      <c r="J213" s="141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ht="15.75" customHeight="1">
      <c r="A214" s="140"/>
      <c r="B214" s="140"/>
      <c r="C214" s="141"/>
      <c r="D214" s="141"/>
      <c r="E214" s="140"/>
      <c r="F214" s="140"/>
      <c r="G214" s="140"/>
      <c r="H214" s="141"/>
      <c r="I214" s="141"/>
      <c r="J214" s="141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ht="15.75" customHeight="1">
      <c r="A215" s="140"/>
      <c r="B215" s="140"/>
      <c r="C215" s="141"/>
      <c r="D215" s="141"/>
      <c r="E215" s="140"/>
      <c r="F215" s="140"/>
      <c r="G215" s="140"/>
      <c r="H215" s="141"/>
      <c r="I215" s="141"/>
      <c r="J215" s="141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ht="15.75" customHeight="1">
      <c r="A216" s="140"/>
      <c r="B216" s="140"/>
      <c r="C216" s="141"/>
      <c r="D216" s="141"/>
      <c r="E216" s="140"/>
      <c r="F216" s="140"/>
      <c r="G216" s="140"/>
      <c r="H216" s="141"/>
      <c r="I216" s="141"/>
      <c r="J216" s="141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ht="15.75" customHeight="1">
      <c r="A217" s="140"/>
      <c r="B217" s="140"/>
      <c r="C217" s="141"/>
      <c r="D217" s="141"/>
      <c r="E217" s="140"/>
      <c r="F217" s="140"/>
      <c r="G217" s="140"/>
      <c r="H217" s="141"/>
      <c r="I217" s="141"/>
      <c r="J217" s="141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ht="15.75" customHeight="1">
      <c r="A218" s="140"/>
      <c r="B218" s="140"/>
      <c r="C218" s="141"/>
      <c r="D218" s="141"/>
      <c r="E218" s="140"/>
      <c r="F218" s="140"/>
      <c r="G218" s="140"/>
      <c r="H218" s="141"/>
      <c r="I218" s="141"/>
      <c r="J218" s="141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ht="15.75" customHeight="1">
      <c r="A219" s="140"/>
      <c r="B219" s="140"/>
      <c r="C219" s="141"/>
      <c r="D219" s="141"/>
      <c r="E219" s="140"/>
      <c r="F219" s="140"/>
      <c r="G219" s="140"/>
      <c r="H219" s="141"/>
      <c r="I219" s="141"/>
      <c r="J219" s="141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ht="15.75" customHeight="1">
      <c r="A220" s="140"/>
      <c r="B220" s="140"/>
      <c r="C220" s="141"/>
      <c r="D220" s="141"/>
      <c r="E220" s="140"/>
      <c r="F220" s="140"/>
      <c r="G220" s="140"/>
      <c r="H220" s="141"/>
      <c r="I220" s="141"/>
      <c r="J220" s="141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ht="15.75" customHeight="1">
      <c r="A221" s="140"/>
      <c r="B221" s="140"/>
      <c r="C221" s="141"/>
      <c r="D221" s="141"/>
      <c r="E221" s="140"/>
      <c r="F221" s="140"/>
      <c r="G221" s="140"/>
      <c r="H221" s="141"/>
      <c r="I221" s="141"/>
      <c r="J221" s="141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ht="15.75" customHeight="1">
      <c r="A222" s="140"/>
      <c r="B222" s="140"/>
      <c r="C222" s="141"/>
      <c r="D222" s="141"/>
      <c r="E222" s="140"/>
      <c r="F222" s="140"/>
      <c r="G222" s="140"/>
      <c r="H222" s="141"/>
      <c r="I222" s="141"/>
      <c r="J222" s="141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J3"/>
    <mergeCell ref="B5:E5"/>
    <mergeCell ref="G5:J5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16.57"/>
    <col customWidth="1" min="3" max="3" width="15.86"/>
    <col customWidth="1" min="4" max="4" width="17.43"/>
    <col customWidth="1" min="5" max="5" width="16.0"/>
    <col customWidth="1" min="6" max="6" width="19.57"/>
    <col customWidth="1" min="7" max="7" width="18.14"/>
    <col customWidth="1" min="8" max="8" width="34.57"/>
    <col customWidth="1" min="9" max="9" width="32.71"/>
  </cols>
  <sheetData>
    <row r="1" ht="21.0" customHeight="1">
      <c r="A1" s="202" t="s">
        <v>145</v>
      </c>
      <c r="B1" s="146"/>
      <c r="C1" s="146"/>
      <c r="D1" s="146"/>
      <c r="E1" s="146"/>
      <c r="F1" s="147"/>
      <c r="H1" s="203" t="s">
        <v>146</v>
      </c>
      <c r="I1" s="204"/>
    </row>
    <row r="3" ht="16.5" customHeight="1">
      <c r="A3" s="205" t="s">
        <v>147</v>
      </c>
      <c r="B3" s="146"/>
      <c r="C3" s="146"/>
      <c r="D3" s="146"/>
      <c r="E3" s="146"/>
      <c r="F3" s="147"/>
      <c r="H3" s="206" t="s">
        <v>148</v>
      </c>
      <c r="I3" s="147"/>
    </row>
    <row r="4">
      <c r="A4" s="207" t="s">
        <v>73</v>
      </c>
      <c r="B4" s="207" t="s">
        <v>149</v>
      </c>
      <c r="C4" s="149" t="s">
        <v>150</v>
      </c>
      <c r="D4" s="149" t="s">
        <v>151</v>
      </c>
      <c r="E4" s="149" t="s">
        <v>152</v>
      </c>
      <c r="F4" s="149" t="s">
        <v>153</v>
      </c>
      <c r="H4" s="208" t="s">
        <v>73</v>
      </c>
      <c r="I4" s="209" t="s">
        <v>154</v>
      </c>
    </row>
    <row r="5">
      <c r="A5" s="128"/>
      <c r="B5" s="128"/>
      <c r="C5" s="149" t="s">
        <v>155</v>
      </c>
      <c r="D5" s="149" t="s">
        <v>156</v>
      </c>
      <c r="E5" s="149" t="s">
        <v>157</v>
      </c>
      <c r="F5" s="149" t="s">
        <v>158</v>
      </c>
      <c r="H5" s="128"/>
      <c r="I5" s="128"/>
    </row>
    <row r="6">
      <c r="A6" s="151" t="s">
        <v>159</v>
      </c>
      <c r="B6" s="211">
        <v>48.825</v>
      </c>
      <c r="C6" s="211">
        <f t="shared" ref="C6:C14" si="1">B6*0.97</f>
        <v>47.36025</v>
      </c>
      <c r="D6" s="211">
        <f t="shared" ref="D6:D14" si="2">B6*0.94</f>
        <v>45.8955</v>
      </c>
      <c r="E6" s="211">
        <f t="shared" ref="E6:E14" si="3">B6*0.91</f>
        <v>44.43075</v>
      </c>
      <c r="F6" s="211">
        <f t="shared" ref="F6:F14" si="4">B6*0.88</f>
        <v>42.966</v>
      </c>
      <c r="G6" s="10"/>
      <c r="H6" s="212" t="s">
        <v>77</v>
      </c>
      <c r="I6" s="213">
        <v>81.9</v>
      </c>
    </row>
    <row r="7">
      <c r="A7" s="159" t="s">
        <v>160</v>
      </c>
      <c r="B7" s="214">
        <v>52.08</v>
      </c>
      <c r="C7" s="211">
        <f t="shared" si="1"/>
        <v>50.5176</v>
      </c>
      <c r="D7" s="211">
        <f t="shared" si="2"/>
        <v>48.9552</v>
      </c>
      <c r="E7" s="211">
        <f t="shared" si="3"/>
        <v>47.3928</v>
      </c>
      <c r="F7" s="211">
        <f t="shared" si="4"/>
        <v>45.8304</v>
      </c>
      <c r="G7" s="10"/>
      <c r="H7" s="212" t="s">
        <v>81</v>
      </c>
      <c r="I7" s="213">
        <v>84.0</v>
      </c>
    </row>
    <row r="8">
      <c r="A8" s="159" t="s">
        <v>84</v>
      </c>
      <c r="B8" s="214">
        <v>55.335</v>
      </c>
      <c r="C8" s="211">
        <f t="shared" si="1"/>
        <v>53.67495</v>
      </c>
      <c r="D8" s="211">
        <f t="shared" si="2"/>
        <v>52.0149</v>
      </c>
      <c r="E8" s="211">
        <f t="shared" si="3"/>
        <v>50.35485</v>
      </c>
      <c r="F8" s="211">
        <f t="shared" si="4"/>
        <v>48.6948</v>
      </c>
      <c r="G8" s="10"/>
      <c r="H8" s="212" t="s">
        <v>84</v>
      </c>
      <c r="I8" s="213">
        <v>87.465</v>
      </c>
    </row>
    <row r="9">
      <c r="A9" s="159" t="s">
        <v>107</v>
      </c>
      <c r="B9" s="214">
        <v>53.7075</v>
      </c>
      <c r="C9" s="211">
        <f t="shared" si="1"/>
        <v>52.096275</v>
      </c>
      <c r="D9" s="211">
        <f t="shared" si="2"/>
        <v>50.48505</v>
      </c>
      <c r="E9" s="211">
        <f t="shared" si="3"/>
        <v>48.873825</v>
      </c>
      <c r="F9" s="211">
        <f t="shared" si="4"/>
        <v>47.2626</v>
      </c>
      <c r="G9" s="10"/>
      <c r="H9" s="212" t="s">
        <v>107</v>
      </c>
      <c r="I9" s="213">
        <v>86.625</v>
      </c>
    </row>
    <row r="10">
      <c r="A10" s="159" t="s">
        <v>113</v>
      </c>
      <c r="B10" s="214">
        <v>64.325</v>
      </c>
      <c r="C10" s="211">
        <f t="shared" si="1"/>
        <v>62.39525</v>
      </c>
      <c r="D10" s="211">
        <f t="shared" si="2"/>
        <v>60.4655</v>
      </c>
      <c r="E10" s="211">
        <f t="shared" si="3"/>
        <v>58.53575</v>
      </c>
      <c r="F10" s="211">
        <f t="shared" si="4"/>
        <v>56.606</v>
      </c>
      <c r="G10" s="10"/>
      <c r="H10" s="212" t="s">
        <v>113</v>
      </c>
      <c r="I10" s="213">
        <v>97.525</v>
      </c>
    </row>
    <row r="11">
      <c r="A11" s="159" t="s">
        <v>115</v>
      </c>
      <c r="B11" s="214">
        <v>75.02</v>
      </c>
      <c r="C11" s="211">
        <f t="shared" si="1"/>
        <v>72.7694</v>
      </c>
      <c r="D11" s="211">
        <f t="shared" si="2"/>
        <v>70.5188</v>
      </c>
      <c r="E11" s="211">
        <f t="shared" si="3"/>
        <v>68.2682</v>
      </c>
      <c r="F11" s="211">
        <f t="shared" si="4"/>
        <v>66.0176</v>
      </c>
      <c r="G11" s="10"/>
      <c r="H11" s="212" t="s">
        <v>162</v>
      </c>
      <c r="I11" s="213">
        <v>106.48</v>
      </c>
    </row>
    <row r="12">
      <c r="A12" s="159" t="s">
        <v>119</v>
      </c>
      <c r="B12" s="214">
        <v>119.7375</v>
      </c>
      <c r="C12" s="211">
        <f t="shared" si="1"/>
        <v>116.145375</v>
      </c>
      <c r="D12" s="211">
        <f t="shared" si="2"/>
        <v>112.55325</v>
      </c>
      <c r="E12" s="211">
        <f t="shared" si="3"/>
        <v>108.961125</v>
      </c>
      <c r="F12" s="211">
        <f t="shared" si="4"/>
        <v>105.369</v>
      </c>
      <c r="G12" s="10"/>
      <c r="H12" s="212" t="s">
        <v>163</v>
      </c>
      <c r="I12" s="213">
        <v>146.775</v>
      </c>
    </row>
    <row r="13">
      <c r="A13" s="159" t="s">
        <v>123</v>
      </c>
      <c r="B13" s="214">
        <v>131.75</v>
      </c>
      <c r="C13" s="211">
        <f t="shared" si="1"/>
        <v>127.7975</v>
      </c>
      <c r="D13" s="211">
        <f t="shared" si="2"/>
        <v>123.845</v>
      </c>
      <c r="E13" s="211">
        <f t="shared" si="3"/>
        <v>119.8925</v>
      </c>
      <c r="F13" s="211">
        <f t="shared" si="4"/>
        <v>115.94</v>
      </c>
      <c r="G13" s="10"/>
      <c r="H13" s="215" t="s">
        <v>123</v>
      </c>
      <c r="I13" s="213">
        <v>170.0</v>
      </c>
    </row>
    <row r="14">
      <c r="A14" s="187" t="s">
        <v>127</v>
      </c>
      <c r="B14" s="216">
        <v>148.8</v>
      </c>
      <c r="C14" s="216">
        <f t="shared" si="1"/>
        <v>144.336</v>
      </c>
      <c r="D14" s="216">
        <f t="shared" si="2"/>
        <v>139.872</v>
      </c>
      <c r="E14" s="216">
        <f t="shared" si="3"/>
        <v>135.408</v>
      </c>
      <c r="F14" s="216">
        <f t="shared" si="4"/>
        <v>130.944</v>
      </c>
      <c r="G14" s="10"/>
      <c r="H14" s="212" t="s">
        <v>127</v>
      </c>
      <c r="I14" s="213">
        <v>192.0</v>
      </c>
    </row>
    <row r="15">
      <c r="A15" s="217" t="s">
        <v>164</v>
      </c>
      <c r="B15" s="93"/>
      <c r="C15" s="93"/>
      <c r="D15" s="93"/>
      <c r="E15" s="93"/>
      <c r="F15" s="94"/>
    </row>
    <row r="16">
      <c r="A16" s="95"/>
      <c r="B16" s="96"/>
      <c r="C16" s="96"/>
      <c r="D16" s="96"/>
      <c r="E16" s="96"/>
      <c r="F16" s="97"/>
    </row>
    <row r="18">
      <c r="A18" s="218" t="s">
        <v>72</v>
      </c>
      <c r="B18" s="146"/>
      <c r="C18" s="146"/>
      <c r="D18" s="146"/>
      <c r="E18" s="146"/>
      <c r="F18" s="147"/>
      <c r="H18" s="219" t="s">
        <v>165</v>
      </c>
      <c r="I18" s="147"/>
    </row>
    <row r="19">
      <c r="A19" s="220" t="s">
        <v>73</v>
      </c>
      <c r="B19" s="220" t="s">
        <v>35</v>
      </c>
      <c r="C19" s="150" t="s">
        <v>150</v>
      </c>
      <c r="D19" s="150" t="s">
        <v>151</v>
      </c>
      <c r="E19" s="150" t="s">
        <v>152</v>
      </c>
      <c r="F19" s="150" t="s">
        <v>153</v>
      </c>
      <c r="H19" s="221" t="s">
        <v>73</v>
      </c>
      <c r="I19" s="222" t="s">
        <v>166</v>
      </c>
    </row>
    <row r="20">
      <c r="A20" s="128"/>
      <c r="B20" s="128"/>
      <c r="C20" s="150" t="s">
        <v>155</v>
      </c>
      <c r="D20" s="150" t="s">
        <v>156</v>
      </c>
      <c r="E20" s="150" t="s">
        <v>157</v>
      </c>
      <c r="F20" s="150" t="s">
        <v>158</v>
      </c>
      <c r="H20" s="128"/>
      <c r="I20" s="128"/>
    </row>
    <row r="21" ht="15.75" customHeight="1">
      <c r="A21" s="155" t="s">
        <v>80</v>
      </c>
      <c r="B21" s="223">
        <v>72.5625</v>
      </c>
      <c r="C21" s="223">
        <f t="shared" ref="C21:C31" si="5">B21*0.97</f>
        <v>70.385625</v>
      </c>
      <c r="D21" s="223">
        <f t="shared" ref="D21:D31" si="6">B21*0.94</f>
        <v>68.20875</v>
      </c>
      <c r="E21" s="223">
        <f t="shared" ref="E21:E31" si="7">B21*0.91</f>
        <v>66.031875</v>
      </c>
      <c r="F21" s="223">
        <f t="shared" ref="F21:F31" si="8">B21*0.88</f>
        <v>63.855</v>
      </c>
      <c r="G21" s="10"/>
      <c r="H21" s="212" t="s">
        <v>80</v>
      </c>
      <c r="I21" s="224">
        <v>103.845</v>
      </c>
    </row>
    <row r="22" ht="15.75" customHeight="1">
      <c r="A22" s="159" t="s">
        <v>83</v>
      </c>
      <c r="B22" s="214">
        <v>75.7875</v>
      </c>
      <c r="C22" s="214">
        <f t="shared" si="5"/>
        <v>73.513875</v>
      </c>
      <c r="D22" s="214">
        <f t="shared" si="6"/>
        <v>71.24025</v>
      </c>
      <c r="E22" s="214">
        <f t="shared" si="7"/>
        <v>68.966625</v>
      </c>
      <c r="F22" s="214">
        <f t="shared" si="8"/>
        <v>66.693</v>
      </c>
      <c r="G22" s="10"/>
      <c r="H22" s="212" t="s">
        <v>83</v>
      </c>
      <c r="I22" s="224">
        <v>106.8075</v>
      </c>
    </row>
    <row r="23" ht="15.75" customHeight="1">
      <c r="A23" s="159" t="s">
        <v>86</v>
      </c>
      <c r="B23" s="214">
        <v>80.325</v>
      </c>
      <c r="C23" s="214">
        <f t="shared" si="5"/>
        <v>77.91525</v>
      </c>
      <c r="D23" s="214">
        <f t="shared" si="6"/>
        <v>75.5055</v>
      </c>
      <c r="E23" s="214">
        <f t="shared" si="7"/>
        <v>73.09575</v>
      </c>
      <c r="F23" s="214">
        <f t="shared" si="8"/>
        <v>70.686</v>
      </c>
      <c r="G23" s="10"/>
      <c r="H23" s="212" t="s">
        <v>86</v>
      </c>
      <c r="I23" s="224">
        <v>110.925</v>
      </c>
    </row>
    <row r="24" ht="15.75" customHeight="1">
      <c r="A24" s="159" t="s">
        <v>120</v>
      </c>
      <c r="B24" s="214">
        <v>124.0</v>
      </c>
      <c r="C24" s="214">
        <f t="shared" si="5"/>
        <v>120.28</v>
      </c>
      <c r="D24" s="214">
        <f t="shared" si="6"/>
        <v>116.56</v>
      </c>
      <c r="E24" s="214">
        <f t="shared" si="7"/>
        <v>112.84</v>
      </c>
      <c r="F24" s="214">
        <f t="shared" si="8"/>
        <v>109.12</v>
      </c>
      <c r="G24" s="10"/>
      <c r="H24" s="212" t="s">
        <v>167</v>
      </c>
      <c r="I24" s="224">
        <v>124.0</v>
      </c>
    </row>
    <row r="25" ht="15.75" customHeight="1">
      <c r="A25" s="159" t="s">
        <v>125</v>
      </c>
      <c r="B25" s="214">
        <v>124.0</v>
      </c>
      <c r="C25" s="214">
        <f t="shared" si="5"/>
        <v>120.28</v>
      </c>
      <c r="D25" s="214">
        <f t="shared" si="6"/>
        <v>116.56</v>
      </c>
      <c r="E25" s="214">
        <f t="shared" si="7"/>
        <v>112.84</v>
      </c>
      <c r="F25" s="214">
        <f t="shared" si="8"/>
        <v>109.12</v>
      </c>
      <c r="G25" s="10"/>
      <c r="H25" s="212" t="s">
        <v>168</v>
      </c>
      <c r="I25" s="224">
        <v>124.0</v>
      </c>
    </row>
    <row r="26" ht="15.75" customHeight="1">
      <c r="A26" s="159" t="s">
        <v>129</v>
      </c>
      <c r="B26" s="214">
        <v>131.0</v>
      </c>
      <c r="C26" s="214">
        <f t="shared" si="5"/>
        <v>127.07</v>
      </c>
      <c r="D26" s="214">
        <f t="shared" si="6"/>
        <v>123.14</v>
      </c>
      <c r="E26" s="214">
        <f t="shared" si="7"/>
        <v>119.21</v>
      </c>
      <c r="F26" s="214">
        <f t="shared" si="8"/>
        <v>115.28</v>
      </c>
      <c r="G26" s="10"/>
      <c r="H26" s="212" t="s">
        <v>169</v>
      </c>
      <c r="I26" s="224">
        <v>133.0</v>
      </c>
    </row>
    <row r="27" ht="15.75" customHeight="1">
      <c r="A27" s="191" t="s">
        <v>131</v>
      </c>
      <c r="B27" s="214">
        <v>131.0</v>
      </c>
      <c r="C27" s="214">
        <f t="shared" si="5"/>
        <v>127.07</v>
      </c>
      <c r="D27" s="214">
        <f t="shared" si="6"/>
        <v>123.14</v>
      </c>
      <c r="E27" s="214">
        <f t="shared" si="7"/>
        <v>119.21</v>
      </c>
      <c r="F27" s="214">
        <f t="shared" si="8"/>
        <v>115.28</v>
      </c>
      <c r="G27" s="10"/>
      <c r="H27" s="212" t="s">
        <v>170</v>
      </c>
      <c r="I27" s="224">
        <v>133.0</v>
      </c>
    </row>
    <row r="28" ht="15.75" customHeight="1">
      <c r="A28" s="191" t="s">
        <v>132</v>
      </c>
      <c r="B28" s="214">
        <v>195.0</v>
      </c>
      <c r="C28" s="214">
        <f t="shared" si="5"/>
        <v>189.15</v>
      </c>
      <c r="D28" s="214">
        <f t="shared" si="6"/>
        <v>183.3</v>
      </c>
      <c r="E28" s="214">
        <f t="shared" si="7"/>
        <v>177.45</v>
      </c>
      <c r="F28" s="214">
        <f t="shared" si="8"/>
        <v>171.6</v>
      </c>
      <c r="G28" s="10"/>
      <c r="H28" s="225" t="s">
        <v>171</v>
      </c>
      <c r="I28" s="224">
        <v>200.0</v>
      </c>
    </row>
    <row r="29" ht="15.75" customHeight="1">
      <c r="A29" s="191" t="s">
        <v>134</v>
      </c>
      <c r="B29" s="214">
        <v>195.0</v>
      </c>
      <c r="C29" s="214">
        <f t="shared" si="5"/>
        <v>189.15</v>
      </c>
      <c r="D29" s="214">
        <f t="shared" si="6"/>
        <v>183.3</v>
      </c>
      <c r="E29" s="214">
        <f t="shared" si="7"/>
        <v>177.45</v>
      </c>
      <c r="F29" s="214">
        <f t="shared" si="8"/>
        <v>171.6</v>
      </c>
      <c r="G29" s="10"/>
      <c r="H29" s="212" t="s">
        <v>172</v>
      </c>
      <c r="I29" s="224">
        <v>200.0</v>
      </c>
    </row>
    <row r="30" ht="15.75" customHeight="1">
      <c r="A30" s="191" t="s">
        <v>173</v>
      </c>
      <c r="B30" s="214">
        <v>68.47</v>
      </c>
      <c r="C30" s="214">
        <f t="shared" si="5"/>
        <v>66.4159</v>
      </c>
      <c r="D30" s="214">
        <f t="shared" si="6"/>
        <v>64.3618</v>
      </c>
      <c r="E30" s="214">
        <f t="shared" si="7"/>
        <v>62.3077</v>
      </c>
      <c r="F30" s="214">
        <f t="shared" si="8"/>
        <v>60.2536</v>
      </c>
      <c r="G30" s="10"/>
      <c r="H30" s="212" t="s">
        <v>139</v>
      </c>
      <c r="I30" s="224">
        <v>99.63</v>
      </c>
    </row>
    <row r="31" ht="15.75" customHeight="1">
      <c r="A31" s="195" t="s">
        <v>174</v>
      </c>
      <c r="B31" s="216">
        <v>190.65</v>
      </c>
      <c r="C31" s="216">
        <f t="shared" si="5"/>
        <v>184.9305</v>
      </c>
      <c r="D31" s="216">
        <f t="shared" si="6"/>
        <v>179.211</v>
      </c>
      <c r="E31" s="216">
        <f t="shared" si="7"/>
        <v>173.4915</v>
      </c>
      <c r="F31" s="216">
        <f t="shared" si="8"/>
        <v>167.772</v>
      </c>
      <c r="G31" s="10"/>
      <c r="H31" s="212" t="s">
        <v>142</v>
      </c>
      <c r="I31" s="224">
        <v>246.0</v>
      </c>
    </row>
    <row r="32" ht="23.25" customHeight="1">
      <c r="A32" s="217" t="s">
        <v>175</v>
      </c>
      <c r="B32" s="93"/>
      <c r="C32" s="93"/>
      <c r="D32" s="93"/>
      <c r="E32" s="93"/>
      <c r="F32" s="94"/>
    </row>
    <row r="33" ht="24.0" customHeight="1">
      <c r="A33" s="95"/>
      <c r="B33" s="96"/>
      <c r="C33" s="96"/>
      <c r="D33" s="96"/>
      <c r="E33" s="96"/>
      <c r="F33" s="97"/>
    </row>
    <row r="34" ht="15.75" customHeight="1"/>
    <row r="35" ht="15.75" customHeight="1">
      <c r="A35" s="226" t="s">
        <v>176</v>
      </c>
      <c r="B35" s="146"/>
      <c r="C35" s="146"/>
      <c r="D35" s="146"/>
      <c r="E35" s="147"/>
    </row>
    <row r="36" ht="15.75" customHeight="1">
      <c r="A36" s="227" t="s">
        <v>73</v>
      </c>
      <c r="B36" s="227" t="s">
        <v>35</v>
      </c>
      <c r="C36" s="228" t="s">
        <v>151</v>
      </c>
      <c r="D36" s="228" t="s">
        <v>152</v>
      </c>
      <c r="E36" s="228" t="s">
        <v>153</v>
      </c>
    </row>
    <row r="37" ht="15.75" customHeight="1">
      <c r="A37" s="128"/>
      <c r="B37" s="128"/>
      <c r="C37" s="228" t="s">
        <v>177</v>
      </c>
      <c r="D37" s="228" t="s">
        <v>178</v>
      </c>
      <c r="E37" s="228" t="s">
        <v>179</v>
      </c>
    </row>
    <row r="38" ht="15.75" customHeight="1">
      <c r="A38" s="159" t="s">
        <v>180</v>
      </c>
      <c r="B38" s="223">
        <v>28.117</v>
      </c>
      <c r="C38" s="223">
        <f t="shared" ref="C38:C40" si="9">+B38*0.96</f>
        <v>26.99232</v>
      </c>
      <c r="D38" s="223">
        <f t="shared" ref="D38:D40" si="10">B38*0.92</f>
        <v>25.86764</v>
      </c>
      <c r="E38" s="223">
        <f t="shared" ref="E38:E40" si="11">+B38*0.88</f>
        <v>24.74296</v>
      </c>
      <c r="F38" s="10"/>
    </row>
    <row r="39" ht="15.75" customHeight="1">
      <c r="A39" s="159" t="s">
        <v>110</v>
      </c>
      <c r="B39" s="211">
        <v>58.0</v>
      </c>
      <c r="C39" s="211">
        <f t="shared" si="9"/>
        <v>55.68</v>
      </c>
      <c r="D39" s="211">
        <f t="shared" si="10"/>
        <v>53.36</v>
      </c>
      <c r="E39" s="211">
        <f t="shared" si="11"/>
        <v>51.04</v>
      </c>
      <c r="F39" s="10"/>
      <c r="G39" s="80"/>
    </row>
    <row r="40" ht="15.75" customHeight="1">
      <c r="A40" s="195" t="s">
        <v>114</v>
      </c>
      <c r="B40" s="216">
        <v>85.0</v>
      </c>
      <c r="C40" s="216">
        <f t="shared" si="9"/>
        <v>81.6</v>
      </c>
      <c r="D40" s="216">
        <f t="shared" si="10"/>
        <v>78.2</v>
      </c>
      <c r="E40" s="216">
        <f t="shared" si="11"/>
        <v>74.8</v>
      </c>
      <c r="F40" s="10"/>
    </row>
    <row r="41" ht="15.75" customHeight="1"/>
    <row r="42" ht="15.75" customHeight="1">
      <c r="A42" s="229" t="s">
        <v>182</v>
      </c>
      <c r="B42" s="146"/>
      <c r="C42" s="146"/>
      <c r="D42" s="146"/>
      <c r="E42" s="146"/>
      <c r="F42" s="146"/>
    </row>
    <row r="43" ht="15.75" customHeight="1">
      <c r="A43" s="230" t="s">
        <v>73</v>
      </c>
      <c r="B43" s="230" t="s">
        <v>35</v>
      </c>
      <c r="C43" s="231" t="s">
        <v>150</v>
      </c>
      <c r="D43" s="231" t="s">
        <v>151</v>
      </c>
      <c r="E43" s="231" t="s">
        <v>152</v>
      </c>
      <c r="F43" s="231" t="s">
        <v>153</v>
      </c>
    </row>
    <row r="44" ht="15.75" customHeight="1">
      <c r="A44" s="128"/>
      <c r="B44" s="128"/>
      <c r="C44" s="231" t="s">
        <v>183</v>
      </c>
      <c r="D44" s="231" t="s">
        <v>184</v>
      </c>
      <c r="E44" s="231" t="s">
        <v>185</v>
      </c>
      <c r="F44" s="231" t="s">
        <v>186</v>
      </c>
    </row>
    <row r="45" ht="15.75" customHeight="1">
      <c r="A45" s="159" t="s">
        <v>187</v>
      </c>
      <c r="B45" s="223">
        <v>14.725</v>
      </c>
      <c r="C45" s="223">
        <f t="shared" ref="C45:C46" si="12">B45*0.94</f>
        <v>13.8415</v>
      </c>
      <c r="D45" s="223">
        <f t="shared" ref="D45:D46" si="13">B45*0.88</f>
        <v>12.958</v>
      </c>
      <c r="E45" s="223">
        <f t="shared" ref="E45:E46" si="14">B45*0.82</f>
        <v>12.0745</v>
      </c>
      <c r="F45" s="223">
        <f t="shared" ref="F45:F46" si="15">+B45*0.76</f>
        <v>11.191</v>
      </c>
    </row>
    <row r="46" ht="15.75" customHeight="1">
      <c r="A46" s="195" t="s">
        <v>188</v>
      </c>
      <c r="B46" s="216">
        <v>10.925</v>
      </c>
      <c r="C46" s="216">
        <f t="shared" si="12"/>
        <v>10.2695</v>
      </c>
      <c r="D46" s="216">
        <f t="shared" si="13"/>
        <v>9.614</v>
      </c>
      <c r="E46" s="216">
        <f t="shared" si="14"/>
        <v>8.9585</v>
      </c>
      <c r="F46" s="216">
        <f t="shared" si="15"/>
        <v>8.303</v>
      </c>
    </row>
    <row r="47" ht="15.75" customHeight="1"/>
    <row r="48" ht="15.75" customHeight="1">
      <c r="A48" s="232" t="s">
        <v>189</v>
      </c>
      <c r="B48" s="146"/>
      <c r="C48" s="146"/>
      <c r="D48" s="147"/>
      <c r="E48" s="10"/>
      <c r="F48" s="10"/>
    </row>
    <row r="49" ht="15.75" customHeight="1">
      <c r="A49" s="233" t="s">
        <v>190</v>
      </c>
      <c r="B49" s="234" t="s">
        <v>191</v>
      </c>
      <c r="C49" s="146"/>
      <c r="D49" s="147"/>
      <c r="E49" s="10"/>
      <c r="F49" s="10"/>
    </row>
    <row r="50" ht="15.75" customHeight="1">
      <c r="A50" s="123"/>
      <c r="B50" s="235" t="s">
        <v>192</v>
      </c>
      <c r="C50" s="147"/>
      <c r="D50" s="236" t="s">
        <v>193</v>
      </c>
      <c r="E50" s="10"/>
      <c r="F50" s="10"/>
    </row>
    <row r="51" ht="30.0" customHeight="1">
      <c r="A51" s="123"/>
      <c r="B51" s="237" t="s">
        <v>194</v>
      </c>
      <c r="C51" s="147"/>
      <c r="D51" s="238">
        <v>120000.0</v>
      </c>
    </row>
    <row r="52" ht="15.75" customHeight="1">
      <c r="A52" s="128"/>
      <c r="B52" s="239" t="s">
        <v>195</v>
      </c>
      <c r="C52" s="147"/>
      <c r="D52" s="238">
        <v>90000.0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H1:I1"/>
    <mergeCell ref="A3:F3"/>
    <mergeCell ref="H3:I3"/>
    <mergeCell ref="A4:A5"/>
    <mergeCell ref="H4:H5"/>
    <mergeCell ref="I4:I5"/>
    <mergeCell ref="B4:B5"/>
    <mergeCell ref="A15:F16"/>
    <mergeCell ref="A18:F18"/>
    <mergeCell ref="H18:I18"/>
    <mergeCell ref="A19:A20"/>
    <mergeCell ref="H19:H20"/>
    <mergeCell ref="I19:I20"/>
    <mergeCell ref="B43:B44"/>
    <mergeCell ref="A48:D48"/>
    <mergeCell ref="A49:A52"/>
    <mergeCell ref="B49:D49"/>
    <mergeCell ref="B50:C50"/>
    <mergeCell ref="B51:C51"/>
    <mergeCell ref="B52:C52"/>
    <mergeCell ref="B19:B20"/>
    <mergeCell ref="A32:F33"/>
    <mergeCell ref="A35:E35"/>
    <mergeCell ref="A36:A37"/>
    <mergeCell ref="B36:B37"/>
    <mergeCell ref="A42:F42"/>
    <mergeCell ref="A43:A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2021-01-15T17:39:00Z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52F1E3F395164AB59D67F82C992C74E6_13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