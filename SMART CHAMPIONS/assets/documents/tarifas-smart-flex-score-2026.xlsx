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PC 2025" sheetId="1" r:id="rId4"/>
    <sheet state="visible" name="T. Smart Flex - Ing" sheetId="2" r:id="rId5"/>
  </sheets>
  <externalReferences>
    <externalReference r:id="rId6"/>
  </externalReferences>
  <definedNames>
    <definedName name="_1_Modulo">[1]Tablas!$AC$1:$AD$10</definedName>
    <definedName name="_2_Modulos">[1]Tablas!$AF$1:$AH$6</definedName>
    <definedName name="_3_Modulos">[1]Tablas!$AJ$1:$AL$5</definedName>
    <definedName name="_4_Modulos">[1]Tablas!$AN$1:$AP$4</definedName>
    <definedName name="CuotaInicial">[1]!Tabla7[#All]</definedName>
    <definedName name="Descuentos">[1]!Tabla6[#All]</definedName>
    <definedName name="Descuentos_Especiales">[1]!Tabla3[#All]</definedName>
    <definedName name="Plazos">[1]!Tabla5[#All]</definedName>
    <definedName name="Precios_plenos">[1]Tablas!$A$1:$D$7</definedName>
    <definedName name="NIVELES">#REF!</definedName>
    <definedName name="DASDASDASD">#REF!</definedName>
    <definedName name="UN_NIVEL">#REF!</definedName>
    <definedName name="_3_NIVELES">#REF!</definedName>
    <definedName name="SADASDAD">#REF!</definedName>
    <definedName name="DSDS">#REF!</definedName>
    <definedName name="ASDASDA">#REF!</definedName>
    <definedName name="_3333">#REF!</definedName>
    <definedName name="_2_NIVELES">#REF!</definedName>
    <definedName name="FDSFSDF">#REF!</definedName>
  </definedNames>
  <calcPr/>
  <extLst>
    <ext uri="GoogleSheetsCustomDataVersion2">
      <go:sheetsCustomData xmlns:go="http://customooxmlschemas.google.com/" r:id="rId7" roundtripDataChecksum="Ye0WnOygj/+JUW0m0jwFt1GpX5nvX98Mir5xSqTxcW8="/>
    </ext>
  </extLst>
</workbook>
</file>

<file path=xl/sharedStrings.xml><?xml version="1.0" encoding="utf-8"?>
<sst xmlns="http://schemas.openxmlformats.org/spreadsheetml/2006/main" count="584" uniqueCount="66">
  <si>
    <t>IPC 2025</t>
  </si>
  <si>
    <t>INCREMENTO IPC 2026</t>
  </si>
  <si>
    <t>2026 FINAL</t>
  </si>
  <si>
    <t>% INCREMENTO</t>
  </si>
  <si>
    <t xml:space="preserve">$ INCREMENTO </t>
  </si>
  <si>
    <t>A1</t>
  </si>
  <si>
    <t>A2</t>
  </si>
  <si>
    <t>B1</t>
  </si>
  <si>
    <t>B2</t>
  </si>
  <si>
    <t>C1</t>
  </si>
  <si>
    <t>TARIFAS INGLES SMART FLEX 2026
PRECIO AL PUBLICO</t>
  </si>
  <si>
    <t>TARIFAS INGLES SMART FLEX 2026
PRECIO ALIANZA MASIVA / CAMPAÑA 5% ADICIONAL</t>
  </si>
  <si>
    <t>TARIFAS INGLES SMART FLEX 2026
PRECIO CONVENIO EMPRESARIAL / CAMPAÑA 10% ADICIONAL</t>
  </si>
  <si>
    <t>TARIFAS INGLES SMART FLEX 2026
PRECIO CAMPAÑA PREVENTA / ESPECIAL 15% ADICIONAL</t>
  </si>
  <si>
    <t>TARIFAS SMART FLEX 2026
PRECIO COLABORADOR / 20% ADICIONAL</t>
  </si>
  <si>
    <r>
      <rPr>
        <color rgb="FF1155CC"/>
        <u/>
      </rPr>
      <t>Campaña Smart flex - publico</t>
    </r>
  </si>
  <si>
    <r>
      <rPr>
        <color rgb="FF1155CC"/>
        <u/>
      </rPr>
      <t>701WP00000omCi5YAE</t>
    </r>
  </si>
  <si>
    <r>
      <rPr>
        <color rgb="FF1155CC"/>
        <u/>
      </rPr>
      <t>Campaña Smart flex - Alianza Masiva</t>
    </r>
  </si>
  <si>
    <r>
      <rPr>
        <color rgb="FF1155CC"/>
        <u/>
      </rPr>
      <t>701WP00000sg3wrYAA</t>
    </r>
  </si>
  <si>
    <r>
      <rPr>
        <color rgb="FF1155CC"/>
        <u/>
      </rPr>
      <t>Campaña Smart flex - Alianza Empresarial</t>
    </r>
  </si>
  <si>
    <r>
      <rPr>
        <color rgb="FF1155CC"/>
        <u/>
      </rPr>
      <t>701WP000019SzsWYAS</t>
    </r>
  </si>
  <si>
    <r>
      <rPr>
        <color rgb="FF1155CC"/>
        <u/>
      </rPr>
      <t>Campaña Smart flex - preventa</t>
    </r>
  </si>
  <si>
    <r>
      <rPr>
        <color rgb="FF1155CC"/>
        <u/>
      </rPr>
      <t>701WP00000pbHPdYAM</t>
    </r>
  </si>
  <si>
    <r>
      <rPr>
        <color rgb="FF1155CC"/>
        <u/>
      </rPr>
      <t>Campaña Smart flex - colaborador</t>
    </r>
  </si>
  <si>
    <r>
      <rPr>
        <color rgb="FF1155CC"/>
        <u/>
      </rPr>
      <t>701WP00000pbJeHYAU</t>
    </r>
  </si>
  <si>
    <t>Plan 1 nivel
(90 Horas reloj - Nivel A1)</t>
  </si>
  <si>
    <t>VALOR FULL PLAN</t>
  </si>
  <si>
    <t>N° CUOTAS</t>
  </si>
  <si>
    <t>DESCUENTO</t>
  </si>
  <si>
    <t>CUOTA INICIAL</t>
  </si>
  <si>
    <t>VALOR CUOTAS</t>
  </si>
  <si>
    <t>VALOR TOTAL</t>
  </si>
  <si>
    <t>VALOR HORA</t>
  </si>
  <si>
    <t>MAXIMA INTENSIDAD MENSUAL</t>
  </si>
  <si>
    <t>Plan 1 nivel
(114 Horas reloj - Nivel A2)</t>
  </si>
  <si>
    <t>Plan 1 nivel
(159  Horas reloj - Niveles B1, B2 o C1)</t>
  </si>
  <si>
    <t>Plan  2 Niveles 
(204 Horas Reloj - Niveles A1 y A2)</t>
  </si>
  <si>
    <t>Plan 2 Niveles
(273 Horas Reloj - Niveles A2 y B1)</t>
  </si>
  <si>
    <t>Plan 2 Niveles
(318 Horas Reloj - Niveles B1 y B2)</t>
  </si>
  <si>
    <t>Plan 2 Niveles
(318 Horas Reloj - Niveles B2 y C1)</t>
  </si>
  <si>
    <t>Plan 3 Niveles
 (363 Horas Reloj - Niveles A1, A2 y B1)</t>
  </si>
  <si>
    <t>Plan 3 Niveles
 (432 Horas Reloj - Niveles A2, B1 y B2)</t>
  </si>
  <si>
    <t>Plan 3 Niveles
 (477 Horas Reloj - Niveles B1, B2 y C1)</t>
  </si>
  <si>
    <t>Plan 4 Niveles
 (522 Horas Reloj Niveles A1, A2 , B1 y B2)</t>
  </si>
  <si>
    <t>Plan 4 Niveles
 (591 Horas Reloj Niveles A2, B1, B2 y C1)</t>
  </si>
  <si>
    <t>Plan Completo 5 Niveles
 (681 Horas Reloj -  Niveles A1, A2, B1, B2 y C1)</t>
  </si>
  <si>
    <t>PRECIO ABIERTO A TODO PUBLICO</t>
  </si>
  <si>
    <t>PRECIO EXCLUSIVO PARA CONVENIOS EMPRESARIALES FIRMADOS Y ACTIVOS</t>
  </si>
  <si>
    <t xml:space="preserve">EXLCUSIVO COLABORADORES SMART </t>
  </si>
  <si>
    <t xml:space="preserve">TABLA AUTORIZADA PARA LOS REFERIDOS EFECTIVOS, PARA APLICAR EL COMERCIAL DEBE SOLICITAR LA AUTORIZACION POR CORREO TANTO A LA JEFETURA COMO A LA DIRECCION PREVIAMENTE. </t>
  </si>
  <si>
    <t xml:space="preserve">SMART FLEX </t>
  </si>
  <si>
    <t>Precio publico</t>
  </si>
  <si>
    <t>Tarifa activa regular abierta</t>
  </si>
  <si>
    <t>Promocion 4x5 + Curso corto + Examen Linguaskills + Preparacion examene Internacional linguaskills</t>
  </si>
  <si>
    <t>Precio alianza masiva</t>
  </si>
  <si>
    <t>Precio convenio empresarial</t>
  </si>
  <si>
    <t>Tarifa activa Convenios si</t>
  </si>
  <si>
    <t>Precio preventa</t>
  </si>
  <si>
    <t>Tarifa NO activa</t>
  </si>
  <si>
    <t>precio colaborador</t>
  </si>
  <si>
    <t>Tarifa Exclusiva colaborador</t>
  </si>
  <si>
    <t>SMART ON LINE</t>
  </si>
  <si>
    <t xml:space="preserve">Tarifa Publico </t>
  </si>
  <si>
    <t>Promocion 2 x 1 + Examen Linguaskills</t>
  </si>
  <si>
    <t>Tarifa Financiado/Tu plan tus cuotas</t>
  </si>
  <si>
    <t>Tarifa Convenios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</si>
</sst>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$&quot;* #,##0_-;\-&quot;$&quot;* #,##0_-;_-&quot;$&quot;* &quot;-&quot;??_-;_-@"/>
    <numFmt numFmtId="165" formatCode="[$$-240A]\ #,##0"/>
    <numFmt numFmtId="166" formatCode="_-&quot;$&quot;\ * #,##0_-;\-&quot;$&quot;\ * #,##0_-;_-&quot;$&quot;\ * &quot;-&quot;_-;_-@"/>
  </numFmts>
  <fonts count="20">
    <font>
      <sz val="11.0"/>
      <color theme="1"/>
      <name val="Aptos Narrow"/>
      <scheme val="minor"/>
    </font>
    <font>
      <b/>
      <sz val="14.0"/>
      <color theme="1"/>
      <name val="Calibri"/>
    </font>
    <font>
      <sz val="11.0"/>
      <color theme="1"/>
      <name val="Aptos Narrow"/>
    </font>
    <font>
      <sz val="11.0"/>
      <color theme="1"/>
      <name val="Calibri"/>
    </font>
    <font>
      <b/>
      <sz val="11.0"/>
      <color theme="1"/>
      <name val="Calibri"/>
    </font>
    <font>
      <sz val="16.0"/>
      <color theme="1"/>
      <name val="Calibri"/>
    </font>
    <font>
      <sz val="11.0"/>
      <color theme="0"/>
      <name val="Aptos Narrow"/>
    </font>
    <font>
      <b/>
      <sz val="11.0"/>
      <color theme="1"/>
      <name val="Aptos Narrow"/>
    </font>
    <font/>
    <font>
      <b/>
      <sz val="11.0"/>
      <color theme="1"/>
      <name val="Arial"/>
    </font>
    <font>
      <u/>
      <color rgb="FF0000FF"/>
    </font>
    <font>
      <b/>
      <sz val="9.0"/>
      <color rgb="FF000000"/>
      <name val="Calibri"/>
    </font>
    <font>
      <b/>
      <sz val="9.0"/>
      <color theme="1"/>
      <name val="Calibri"/>
    </font>
    <font>
      <sz val="11.0"/>
      <color theme="1"/>
      <name val="Arial"/>
    </font>
    <font>
      <sz val="14.0"/>
      <color theme="1"/>
      <name val="Aptos Narrow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ptos Narrow"/>
      <scheme val="minor"/>
    </font>
    <font>
      <color theme="1"/>
      <name val="Aptos Narrow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1E4F5"/>
        <bgColor rgb="FFC1E4F5"/>
      </patternFill>
    </fill>
    <fill>
      <patternFill patternType="solid">
        <fgColor rgb="FFF6C6AC"/>
        <bgColor rgb="FFF6C6AC"/>
      </patternFill>
    </fill>
    <fill>
      <patternFill patternType="solid">
        <fgColor rgb="FFF2F96B"/>
        <bgColor rgb="FFF2F96B"/>
      </patternFill>
    </fill>
    <fill>
      <patternFill patternType="solid">
        <fgColor rgb="FFB3E5A1"/>
        <bgColor rgb="FFB3E5A1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3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0" xfId="0" applyAlignment="1" applyFont="1" applyNumberFormat="1">
      <alignment horizont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3" numFmtId="164" xfId="0" applyFont="1" applyNumberFormat="1"/>
    <xf borderId="0" fillId="0" fontId="5" numFmtId="10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1" fillId="2" fontId="2" numFmtId="0" xfId="0" applyBorder="1" applyFill="1" applyFont="1"/>
    <xf borderId="1" fillId="2" fontId="6" numFmtId="9" xfId="0" applyBorder="1" applyFont="1" applyNumberFormat="1"/>
    <xf borderId="1" fillId="2" fontId="2" numFmtId="0" xfId="0" applyAlignment="1" applyBorder="1" applyFont="1">
      <alignment horizontal="center" vertical="center"/>
    </xf>
    <xf borderId="2" fillId="2" fontId="2" numFmtId="0" xfId="0" applyBorder="1" applyFont="1"/>
    <xf borderId="3" fillId="2" fontId="2" numFmtId="0" xfId="0" applyBorder="1" applyFont="1"/>
    <xf borderId="3" fillId="2" fontId="2" numFmtId="0" xfId="0" applyAlignment="1" applyBorder="1" applyFont="1">
      <alignment horizontal="center" vertical="center"/>
    </xf>
    <xf borderId="4" fillId="2" fontId="2" numFmtId="0" xfId="0" applyBorder="1" applyFont="1"/>
    <xf borderId="5" fillId="2" fontId="2" numFmtId="0" xfId="0" applyBorder="1" applyFont="1"/>
    <xf borderId="6" fillId="3" fontId="7" numFmtId="0" xfId="0" applyAlignment="1" applyBorder="1" applyFill="1" applyFont="1">
      <alignment horizontal="center" shrinkToFit="0" wrapText="1"/>
    </xf>
    <xf borderId="7" fillId="0" fontId="8" numFmtId="0" xfId="0" applyBorder="1" applyFont="1"/>
    <xf borderId="8" fillId="0" fontId="8" numFmtId="0" xfId="0" applyBorder="1" applyFont="1"/>
    <xf borderId="9" fillId="2" fontId="2" numFmtId="0" xfId="0" applyBorder="1" applyFont="1"/>
    <xf borderId="6" fillId="4" fontId="9" numFmtId="0" xfId="0" applyAlignment="1" applyBorder="1" applyFill="1" applyFont="1">
      <alignment horizontal="center" shrinkToFit="0" wrapText="1"/>
    </xf>
    <xf borderId="6" fillId="5" fontId="9" numFmtId="0" xfId="0" applyAlignment="1" applyBorder="1" applyFill="1" applyFont="1">
      <alignment horizontal="center" shrinkToFit="0" wrapText="1"/>
    </xf>
    <xf borderId="6" fillId="6" fontId="7" numFmtId="0" xfId="0" applyAlignment="1" applyBorder="1" applyFill="1" applyFont="1">
      <alignment horizontal="center" shrinkToFit="0" wrapText="1"/>
    </xf>
    <xf borderId="1" fillId="2" fontId="7" numFmtId="0" xfId="0" applyAlignment="1" applyBorder="1" applyFont="1">
      <alignment horizontal="center"/>
    </xf>
    <xf borderId="6" fillId="7" fontId="7" numFmtId="0" xfId="0" applyAlignment="1" applyBorder="1" applyFill="1" applyFont="1">
      <alignment horizontal="center" shrinkToFit="0" wrapText="1"/>
    </xf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0" fillId="0" fontId="10" numFmtId="0" xfId="0" applyFont="1"/>
    <xf borderId="13" fillId="2" fontId="7" numFmtId="0" xfId="0" applyAlignment="1" applyBorder="1" applyFont="1">
      <alignment horizontal="center" shrinkToFit="0" vertical="center" wrapText="1"/>
    </xf>
    <xf borderId="14" fillId="0" fontId="8" numFmtId="0" xfId="0" applyBorder="1" applyFont="1"/>
    <xf borderId="15" fillId="0" fontId="8" numFmtId="0" xfId="0" applyBorder="1" applyFont="1"/>
    <xf borderId="1" fillId="2" fontId="7" numFmtId="0" xfId="0" applyAlignment="1" applyBorder="1" applyFont="1">
      <alignment horizontal="center" shrinkToFit="0" vertical="center" wrapText="1"/>
    </xf>
    <xf borderId="1" fillId="8" fontId="2" numFmtId="0" xfId="0" applyBorder="1" applyFill="1" applyFont="1"/>
    <xf borderId="5" fillId="8" fontId="2" numFmtId="0" xfId="0" applyBorder="1" applyFont="1"/>
    <xf borderId="16" fillId="8" fontId="11" numFmtId="0" xfId="0" applyAlignment="1" applyBorder="1" applyFont="1">
      <alignment horizontal="center" shrinkToFit="0" vertical="center" wrapText="1"/>
    </xf>
    <xf borderId="16" fillId="8" fontId="12" numFmtId="165" xfId="0" applyAlignment="1" applyBorder="1" applyFont="1" applyNumberFormat="1">
      <alignment horizontal="center" vertical="center"/>
    </xf>
    <xf borderId="16" fillId="8" fontId="12" numFmtId="0" xfId="0" applyAlignment="1" applyBorder="1" applyFont="1">
      <alignment horizontal="center" shrinkToFit="0" vertical="center" wrapText="1"/>
    </xf>
    <xf borderId="9" fillId="8" fontId="2" numFmtId="0" xfId="0" applyBorder="1" applyFont="1"/>
    <xf borderId="17" fillId="8" fontId="11" numFmtId="0" xfId="0" applyAlignment="1" applyBorder="1" applyFont="1">
      <alignment horizontal="center" shrinkToFit="0" vertical="center" wrapText="1"/>
    </xf>
    <xf borderId="18" fillId="8" fontId="11" numFmtId="0" xfId="0" applyAlignment="1" applyBorder="1" applyFont="1">
      <alignment horizontal="center" shrinkToFit="0" vertical="center" wrapText="1"/>
    </xf>
    <xf borderId="1" fillId="8" fontId="7" numFmtId="0" xfId="0" applyAlignment="1" applyBorder="1" applyFont="1">
      <alignment horizontal="center" shrinkToFit="0" vertical="center" wrapText="1"/>
    </xf>
    <xf borderId="17" fillId="8" fontId="12" numFmtId="165" xfId="0" applyAlignment="1" applyBorder="1" applyFont="1" applyNumberFormat="1">
      <alignment horizontal="center" vertical="center"/>
    </xf>
    <xf borderId="17" fillId="8" fontId="12" numFmtId="0" xfId="0" applyAlignment="1" applyBorder="1" applyFont="1">
      <alignment horizontal="center" shrinkToFit="0" vertical="center" wrapText="1"/>
    </xf>
    <xf borderId="1" fillId="8" fontId="12" numFmtId="0" xfId="0" applyAlignment="1" applyBorder="1" applyFont="1">
      <alignment horizontal="center" shrinkToFit="0" vertical="center" wrapText="1"/>
    </xf>
    <xf borderId="19" fillId="8" fontId="7" numFmtId="164" xfId="0" applyAlignment="1" applyBorder="1" applyFont="1" applyNumberFormat="1">
      <alignment horizontal="center" vertical="center"/>
    </xf>
    <xf borderId="16" fillId="8" fontId="2" numFmtId="0" xfId="0" applyAlignment="1" applyBorder="1" applyFont="1">
      <alignment horizontal="center" vertical="center"/>
    </xf>
    <xf borderId="16" fillId="8" fontId="2" numFmtId="10" xfId="0" applyAlignment="1" applyBorder="1" applyFont="1" applyNumberFormat="1">
      <alignment horizontal="center" vertical="center"/>
    </xf>
    <xf borderId="16" fillId="8" fontId="2" numFmtId="164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20" fillId="0" fontId="8" numFmtId="0" xfId="0" applyBorder="1" applyFont="1"/>
    <xf borderId="16" fillId="8" fontId="2" numFmtId="166" xfId="0" applyAlignment="1" applyBorder="1" applyFont="1" applyNumberFormat="1">
      <alignment horizontal="center" vertical="center"/>
    </xf>
    <xf borderId="16" fillId="8" fontId="2" numFmtId="1" xfId="0" applyAlignment="1" applyBorder="1" applyFont="1" applyNumberFormat="1">
      <alignment horizontal="center" vertical="center"/>
    </xf>
    <xf borderId="1" fillId="8" fontId="2" numFmtId="164" xfId="0" applyBorder="1" applyFont="1" applyNumberFormat="1"/>
    <xf borderId="13" fillId="8" fontId="7" numFmtId="0" xfId="0" applyAlignment="1" applyBorder="1" applyFont="1">
      <alignment horizontal="center" shrinkToFit="0" vertical="center" wrapText="1"/>
    </xf>
    <xf borderId="18" fillId="8" fontId="12" numFmtId="165" xfId="0" applyAlignment="1" applyBorder="1" applyFont="1" applyNumberFormat="1">
      <alignment horizontal="center" vertical="center"/>
    </xf>
    <xf borderId="21" fillId="8" fontId="2" numFmtId="164" xfId="0" applyAlignment="1" applyBorder="1" applyFont="1" applyNumberFormat="1">
      <alignment horizontal="center" vertical="center"/>
    </xf>
    <xf borderId="1" fillId="8" fontId="2" numFmtId="1" xfId="0" applyAlignment="1" applyBorder="1" applyFont="1" applyNumberFormat="1">
      <alignment horizontal="center" vertical="center"/>
    </xf>
    <xf borderId="22" fillId="0" fontId="8" numFmtId="0" xfId="0" applyBorder="1" applyFont="1"/>
    <xf borderId="16" fillId="8" fontId="13" numFmtId="0" xfId="0" applyAlignment="1" applyBorder="1" applyFont="1">
      <alignment horizontal="center" vertical="center"/>
    </xf>
    <xf borderId="1" fillId="2" fontId="2" numFmtId="1" xfId="0" applyAlignment="1" applyBorder="1" applyFont="1" applyNumberFormat="1">
      <alignment horizontal="center" vertical="center"/>
    </xf>
    <xf borderId="13" fillId="9" fontId="7" numFmtId="0" xfId="0" applyAlignment="1" applyBorder="1" applyFill="1" applyFont="1">
      <alignment horizontal="center" shrinkToFit="0" vertical="center" wrapText="1"/>
    </xf>
    <xf borderId="13" fillId="10" fontId="7" numFmtId="0" xfId="0" applyAlignment="1" applyBorder="1" applyFill="1" applyFont="1">
      <alignment horizontal="center" shrinkToFit="0" vertical="center" wrapText="1"/>
    </xf>
    <xf borderId="17" fillId="6" fontId="11" numFmtId="0" xfId="0" applyAlignment="1" applyBorder="1" applyFont="1">
      <alignment horizontal="center" shrinkToFit="0" vertical="center" wrapText="1"/>
    </xf>
    <xf borderId="17" fillId="2" fontId="11" numFmtId="0" xfId="0" applyAlignment="1" applyBorder="1" applyFont="1">
      <alignment horizontal="center" shrinkToFit="0" vertical="center" wrapText="1"/>
    </xf>
    <xf borderId="16" fillId="2" fontId="11" numFmtId="0" xfId="0" applyAlignment="1" applyBorder="1" applyFont="1">
      <alignment horizontal="center" shrinkToFit="0" vertical="center" wrapText="1"/>
    </xf>
    <xf borderId="18" fillId="2" fontId="12" numFmtId="165" xfId="0" applyAlignment="1" applyBorder="1" applyFont="1" applyNumberFormat="1">
      <alignment horizontal="center" vertical="center"/>
    </xf>
    <xf borderId="16" fillId="2" fontId="12" numFmtId="0" xfId="0" applyAlignment="1" applyBorder="1" applyFont="1">
      <alignment horizontal="center" shrinkToFit="0" vertical="center" wrapText="1"/>
    </xf>
    <xf borderId="17" fillId="2" fontId="12" numFmtId="165" xfId="0" applyAlignment="1" applyBorder="1" applyFont="1" applyNumberForma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16" fillId="2" fontId="12" numFmtId="165" xfId="0" applyAlignment="1" applyBorder="1" applyFont="1" applyNumberFormat="1">
      <alignment horizontal="center" vertical="center"/>
    </xf>
    <xf borderId="19" fillId="6" fontId="7" numFmtId="164" xfId="0" applyAlignment="1" applyBorder="1" applyFont="1" applyNumberFormat="1">
      <alignment horizontal="center" vertical="center"/>
    </xf>
    <xf borderId="16" fillId="2" fontId="2" numFmtId="0" xfId="0" applyAlignment="1" applyBorder="1" applyFont="1">
      <alignment horizontal="center" vertical="center"/>
    </xf>
    <xf borderId="16" fillId="0" fontId="2" numFmtId="10" xfId="0" applyAlignment="1" applyBorder="1" applyFont="1" applyNumberFormat="1">
      <alignment horizontal="center" vertical="center"/>
    </xf>
    <xf borderId="16" fillId="2" fontId="2" numFmtId="164" xfId="0" applyAlignment="1" applyBorder="1" applyFont="1" applyNumberFormat="1">
      <alignment horizontal="center" vertical="center"/>
    </xf>
    <xf borderId="21" fillId="2" fontId="2" numFmtId="164" xfId="0" applyAlignment="1" applyBorder="1" applyFont="1" applyNumberFormat="1">
      <alignment horizontal="center" vertical="center"/>
    </xf>
    <xf borderId="16" fillId="2" fontId="2" numFmtId="10" xfId="0" applyAlignment="1" applyBorder="1" applyFont="1" applyNumberFormat="1">
      <alignment horizontal="center" vertical="center"/>
    </xf>
    <xf borderId="16" fillId="2" fontId="2" numFmtId="166" xfId="0" applyAlignment="1" applyBorder="1" applyFont="1" applyNumberFormat="1">
      <alignment horizontal="center" vertical="center"/>
    </xf>
    <xf borderId="16" fillId="2" fontId="2" numFmtId="1" xfId="0" applyAlignment="1" applyBorder="1" applyFont="1" applyNumberFormat="1">
      <alignment horizontal="center" vertical="center"/>
    </xf>
    <xf borderId="1" fillId="2" fontId="2" numFmtId="3" xfId="0" applyBorder="1" applyFont="1" applyNumberFormat="1"/>
    <xf borderId="17" fillId="3" fontId="11" numFmtId="0" xfId="0" applyAlignment="1" applyBorder="1" applyFont="1">
      <alignment horizontal="center" shrinkToFit="0" vertical="center" wrapText="1"/>
    </xf>
    <xf borderId="19" fillId="3" fontId="7" numFmtId="164" xfId="0" applyAlignment="1" applyBorder="1" applyFont="1" applyNumberFormat="1">
      <alignment horizontal="center" vertical="center"/>
    </xf>
    <xf borderId="16" fillId="0" fontId="2" numFmtId="0" xfId="0" applyAlignment="1" applyBorder="1" applyFont="1">
      <alignment horizontal="center" vertical="center"/>
    </xf>
    <xf borderId="13" fillId="0" fontId="2" numFmtId="164" xfId="0" applyAlignment="1" applyBorder="1" applyFont="1" applyNumberFormat="1">
      <alignment horizontal="center" vertical="center"/>
    </xf>
    <xf borderId="16" fillId="0" fontId="2" numFmtId="1" xfId="0" applyAlignment="1" applyBorder="1" applyFont="1" applyNumberFormat="1">
      <alignment horizontal="center" vertical="center"/>
    </xf>
    <xf borderId="23" fillId="2" fontId="2" numFmtId="0" xfId="0" applyBorder="1" applyFont="1"/>
    <xf borderId="24" fillId="2" fontId="2" numFmtId="0" xfId="0" applyBorder="1" applyFont="1"/>
    <xf borderId="24" fillId="2" fontId="2" numFmtId="0" xfId="0" applyAlignment="1" applyBorder="1" applyFont="1">
      <alignment horizontal="center" vertical="center"/>
    </xf>
    <xf borderId="25" fillId="2" fontId="2" numFmtId="0" xfId="0" applyBorder="1" applyFont="1"/>
    <xf borderId="0" fillId="0" fontId="2" numFmtId="164" xfId="0" applyFont="1" applyNumberFormat="1"/>
    <xf borderId="0" fillId="0" fontId="2" numFmtId="164" xfId="0" applyAlignment="1" applyFont="1" applyNumberFormat="1">
      <alignment horizontal="center" vertical="center"/>
    </xf>
    <xf borderId="0" fillId="0" fontId="2" numFmtId="166" xfId="0" applyFont="1" applyNumberFormat="1"/>
    <xf borderId="0" fillId="0" fontId="2" numFmtId="10" xfId="0" applyAlignment="1" applyFont="1" applyNumberFormat="1">
      <alignment horizontal="center" vertical="center"/>
    </xf>
    <xf borderId="0" fillId="0" fontId="14" numFmtId="0" xfId="0" applyFont="1"/>
    <xf borderId="26" fillId="9" fontId="15" numFmtId="0" xfId="0" applyAlignment="1" applyBorder="1" applyFont="1">
      <alignment horizontal="center"/>
    </xf>
    <xf borderId="27" fillId="0" fontId="8" numFmtId="0" xfId="0" applyBorder="1" applyFont="1"/>
    <xf borderId="28" fillId="0" fontId="8" numFmtId="0" xfId="0" applyBorder="1" applyFont="1"/>
    <xf borderId="26" fillId="10" fontId="15" numFmtId="0" xfId="0" applyAlignment="1" applyBorder="1" applyFont="1">
      <alignment horizontal="center" readingOrder="0"/>
    </xf>
    <xf borderId="26" fillId="11" fontId="15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vertical="center"/>
    </xf>
    <xf borderId="29" fillId="10" fontId="15" numFmtId="0" xfId="0" applyAlignment="1" applyBorder="1" applyFont="1">
      <alignment horizontal="center" readingOrder="0" shrinkToFit="0" wrapText="1"/>
    </xf>
    <xf borderId="30" fillId="0" fontId="8" numFmtId="0" xfId="0" applyBorder="1" applyFont="1"/>
    <xf borderId="31" fillId="0" fontId="8" numFmtId="0" xfId="0" applyBorder="1" applyFont="1"/>
    <xf borderId="13" fillId="0" fontId="16" numFmtId="0" xfId="0" applyAlignment="1" applyBorder="1" applyFont="1">
      <alignment horizontal="center"/>
    </xf>
    <xf borderId="32" fillId="0" fontId="8" numFmtId="0" xfId="0" applyBorder="1" applyFont="1"/>
    <xf borderId="33" fillId="0" fontId="8" numFmtId="0" xfId="0" applyBorder="1" applyFont="1"/>
    <xf borderId="6" fillId="0" fontId="17" numFmtId="0" xfId="0" applyBorder="1" applyFont="1"/>
    <xf borderId="7" fillId="0" fontId="17" numFmtId="0" xfId="0" applyBorder="1" applyFont="1"/>
    <xf borderId="7" fillId="0" fontId="17" numFmtId="0" xfId="0" applyAlignment="1" applyBorder="1" applyFont="1">
      <alignment readingOrder="0" shrinkToFit="0" wrapText="1"/>
    </xf>
    <xf borderId="0" fillId="0" fontId="17" numFmtId="0" xfId="0" applyAlignment="1" applyFont="1">
      <alignment readingOrder="0"/>
    </xf>
    <xf borderId="34" fillId="0" fontId="17" numFmtId="0" xfId="0" applyBorder="1" applyFont="1"/>
    <xf borderId="0" fillId="0" fontId="17" numFmtId="0" xfId="0" applyFont="1"/>
    <xf borderId="35" fillId="0" fontId="8" numFmtId="0" xfId="0" applyBorder="1" applyFont="1"/>
    <xf borderId="0" fillId="0" fontId="18" numFmtId="164" xfId="0" applyFont="1" applyNumberFormat="1"/>
    <xf borderId="36" fillId="0" fontId="8" numFmtId="0" xfId="0" applyBorder="1" applyFont="1"/>
    <xf borderId="37" fillId="0" fontId="8" numFmtId="0" xfId="0" applyBorder="1" applyFont="1"/>
    <xf borderId="38" fillId="0" fontId="8" numFmtId="0" xfId="0" applyBorder="1" applyFont="1"/>
    <xf borderId="0" fillId="0" fontId="2" numFmtId="1" xfId="0" applyFont="1" applyNumberFormat="1"/>
    <xf borderId="0" fillId="0" fontId="2" numFmtId="9" xfId="0" applyFont="1" applyNumberFormat="1"/>
    <xf borderId="10" fillId="0" fontId="17" numFmtId="0" xfId="0" applyBorder="1" applyFont="1"/>
    <xf borderId="11" fillId="0" fontId="17" numFmtId="0" xfId="0" applyBorder="1" applyFont="1"/>
    <xf borderId="11" fillId="0" fontId="19" numFmtId="0" xfId="0" applyBorder="1" applyFont="1"/>
    <xf borderId="7" fillId="0" fontId="1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idiomassmart-my.sharepoint.com/Users/Hp/Documents/Gerencia%20MyV/Tarifas/2016/TARIFAS%202016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enerador"/>
      <sheetName val="Tablas"/>
      <sheetName val="Analisis"/>
      <sheetName val="TARIFAS 2016"/>
      <sheetName val="EMPRESARIAL PERSONALIZADO 1"/>
      <sheetName val="EMPRESARIAL PERSONALIZADO 2"/>
      <sheetName val="EMPRESARIAL PERSONALIZADO 3"/>
    </sheetNames>
    <sheetDataSet>
      <sheetData sheetId="0"/>
      <sheetData sheetId="1"/>
      <sheetData sheetId="2"/>
      <sheetData sheetId="3" refreshError="1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ustomization-computing-5922.lightning.force.com/lightning/r/701WP00000omCi5YAE/view" TargetMode="External"/><Relationship Id="rId2" Type="http://schemas.openxmlformats.org/officeDocument/2006/relationships/hyperlink" Target="https://customization-computing-5922.lightning.force.com/lightning/r/701WP00000omCi5YAE/view" TargetMode="External"/><Relationship Id="rId3" Type="http://schemas.openxmlformats.org/officeDocument/2006/relationships/hyperlink" Target="https://customization-computing-5922.lightning.force.com/lightning/r/701WP00000sg3wrYAA/view" TargetMode="External"/><Relationship Id="rId4" Type="http://schemas.openxmlformats.org/officeDocument/2006/relationships/hyperlink" Target="https://customization-computing-5922.lightning.force.com/lightning/r/701WP00000sg3wrYAA/view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customization-computing-5922.lightning.force.com/lightning/r/701WP00000pbJeHYAU/view" TargetMode="External"/><Relationship Id="rId9" Type="http://schemas.openxmlformats.org/officeDocument/2006/relationships/hyperlink" Target="https://customization-computing-5922.lightning.force.com/lightning/r/701WP00000pbJeHYAU/view" TargetMode="External"/><Relationship Id="rId5" Type="http://schemas.openxmlformats.org/officeDocument/2006/relationships/hyperlink" Target="https://customization-computing-5922.lightning.force.com/lightning/r/701WP000019SzsWYAS/view" TargetMode="External"/><Relationship Id="rId6" Type="http://schemas.openxmlformats.org/officeDocument/2006/relationships/hyperlink" Target="https://customization-computing-5922.lightning.force.com/lightning/r/701WP000019SzsWYAS/view" TargetMode="External"/><Relationship Id="rId7" Type="http://schemas.openxmlformats.org/officeDocument/2006/relationships/hyperlink" Target="https://customization-computing-5922.lightning.force.com/lightning/r/701WP00000pbHPdYAM/view" TargetMode="External"/><Relationship Id="rId8" Type="http://schemas.openxmlformats.org/officeDocument/2006/relationships/hyperlink" Target="https://customization-computing-5922.lightning.force.com/lightning/r/701WP00000pbHPdYAM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3.5" customHeight="1">
      <c r="A1" s="1" t="s">
        <v>0</v>
      </c>
      <c r="B1" s="2">
        <v>0.05</v>
      </c>
      <c r="C1" s="3"/>
      <c r="D1" s="3"/>
      <c r="E1" s="3"/>
      <c r="F1" s="4"/>
      <c r="G1" s="3"/>
    </row>
    <row r="2" ht="13.5" customHeight="1">
      <c r="A2" s="5"/>
      <c r="B2" s="5">
        <v>2025.0</v>
      </c>
      <c r="C2" s="5">
        <v>2026.0</v>
      </c>
      <c r="D2" s="6" t="s">
        <v>1</v>
      </c>
      <c r="E2" s="5" t="s">
        <v>2</v>
      </c>
      <c r="F2" s="5" t="s">
        <v>3</v>
      </c>
      <c r="G2" s="5" t="s">
        <v>4</v>
      </c>
    </row>
    <row r="3" ht="13.5" customHeight="1">
      <c r="A3" s="5" t="s">
        <v>5</v>
      </c>
      <c r="B3" s="7">
        <v>1035000.0</v>
      </c>
      <c r="C3" s="7">
        <f t="shared" ref="C3:C7" si="1">+B3+(B3*$D$3)</f>
        <v>1086750</v>
      </c>
      <c r="D3" s="8">
        <v>0.05</v>
      </c>
      <c r="E3" s="7">
        <f t="shared" ref="E3:E7" si="2">CEILING(C3,1000)</f>
        <v>1087000</v>
      </c>
      <c r="F3" s="9">
        <f t="shared" ref="F3:F7" si="3">+(E3-B3)/B3</f>
        <v>0.05024154589</v>
      </c>
      <c r="G3" s="7">
        <f t="shared" ref="G3:G7" si="4">+E3-B3</f>
        <v>52000</v>
      </c>
    </row>
    <row r="4" ht="13.5" customHeight="1">
      <c r="A4" s="5" t="s">
        <v>6</v>
      </c>
      <c r="B4" s="7">
        <v>1311000.0</v>
      </c>
      <c r="C4" s="7">
        <f t="shared" si="1"/>
        <v>1376550</v>
      </c>
      <c r="E4" s="7">
        <f t="shared" si="2"/>
        <v>1377000</v>
      </c>
      <c r="F4" s="9">
        <f t="shared" si="3"/>
        <v>0.05034324943</v>
      </c>
      <c r="G4" s="7">
        <f t="shared" si="4"/>
        <v>66000</v>
      </c>
    </row>
    <row r="5" ht="13.5" customHeight="1">
      <c r="A5" s="5" t="s">
        <v>7</v>
      </c>
      <c r="B5" s="7">
        <v>1828500.0</v>
      </c>
      <c r="C5" s="7">
        <f t="shared" si="1"/>
        <v>1919925</v>
      </c>
      <c r="E5" s="7">
        <f t="shared" si="2"/>
        <v>1920000</v>
      </c>
      <c r="F5" s="9">
        <f t="shared" si="3"/>
        <v>0.05004101723</v>
      </c>
      <c r="G5" s="7">
        <f t="shared" si="4"/>
        <v>91500</v>
      </c>
    </row>
    <row r="6" ht="13.5" customHeight="1">
      <c r="A6" s="5" t="s">
        <v>8</v>
      </c>
      <c r="B6" s="7">
        <v>1828500.0</v>
      </c>
      <c r="C6" s="7">
        <f t="shared" si="1"/>
        <v>1919925</v>
      </c>
      <c r="E6" s="7">
        <f t="shared" si="2"/>
        <v>1920000</v>
      </c>
      <c r="F6" s="9">
        <f t="shared" si="3"/>
        <v>0.05004101723</v>
      </c>
      <c r="G6" s="7">
        <f t="shared" si="4"/>
        <v>91500</v>
      </c>
    </row>
    <row r="7" ht="13.5" customHeight="1">
      <c r="A7" s="5" t="s">
        <v>9</v>
      </c>
      <c r="B7" s="7">
        <v>1828500.0</v>
      </c>
      <c r="C7" s="7">
        <f t="shared" si="1"/>
        <v>1919925</v>
      </c>
      <c r="E7" s="7">
        <f t="shared" si="2"/>
        <v>1920000</v>
      </c>
      <c r="F7" s="9">
        <f t="shared" si="3"/>
        <v>0.05004101723</v>
      </c>
      <c r="G7" s="7">
        <f t="shared" si="4"/>
        <v>91500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D3:D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25"/>
    <col customWidth="1" min="2" max="2" width="3.88"/>
    <col customWidth="1" min="3" max="3" width="53.25"/>
    <col customWidth="1" min="4" max="4" width="31.75"/>
    <col customWidth="1" min="5" max="5" width="9.25"/>
    <col customWidth="1" min="6" max="6" width="12.13"/>
    <col customWidth="1" min="7" max="8" width="13.63"/>
    <col customWidth="1" min="9" max="9" width="10.5"/>
    <col customWidth="1" min="10" max="10" width="16.88"/>
    <col customWidth="1" min="11" max="11" width="4.38"/>
    <col customWidth="1" min="12" max="12" width="2.25"/>
    <col customWidth="1" min="13" max="13" width="5.25"/>
    <col customWidth="1" min="14" max="14" width="13.5"/>
    <col customWidth="1" min="15" max="15" width="11.13"/>
    <col customWidth="1" min="16" max="16" width="9.88"/>
    <col customWidth="1" min="17" max="19" width="12.13"/>
    <col customWidth="1" min="20" max="20" width="10.5"/>
    <col customWidth="1" min="21" max="21" width="16.88"/>
    <col customWidth="1" min="22" max="22" width="5.13"/>
    <col customWidth="1" min="23" max="24" width="5.25"/>
    <col customWidth="1" min="25" max="25" width="13.5"/>
    <col customWidth="1" min="26" max="26" width="11.13"/>
    <col customWidth="1" min="27" max="27" width="9.88"/>
    <col customWidth="1" min="28" max="30" width="12.13"/>
    <col customWidth="1" min="31" max="31" width="10.5"/>
    <col customWidth="1" min="32" max="32" width="13.63"/>
    <col customWidth="1" min="33" max="33" width="5.13"/>
    <col customWidth="1" min="34" max="34" width="5.25"/>
    <col customWidth="1" min="35" max="35" width="4.75"/>
    <col customWidth="1" min="36" max="36" width="13.5"/>
    <col customWidth="1" min="37" max="37" width="9.63"/>
    <col customWidth="1" min="38" max="38" width="11.13"/>
    <col customWidth="1" min="39" max="41" width="12.13"/>
    <col customWidth="1" min="42" max="42" width="9.88"/>
    <col customWidth="1" min="43" max="43" width="12.13"/>
    <col customWidth="1" min="44" max="44" width="11.38"/>
    <col customWidth="1" min="45" max="45" width="4.75"/>
    <col customWidth="1" min="46" max="46" width="5.13"/>
    <col customWidth="1" min="47" max="47" width="13.5"/>
    <col customWidth="1" min="48" max="48" width="9.0"/>
    <col customWidth="1" min="49" max="49" width="9.88"/>
    <col customWidth="1" min="50" max="52" width="12.13"/>
    <col customWidth="1" min="53" max="53" width="10.5"/>
    <col customWidth="1" min="54" max="54" width="10.0"/>
    <col customWidth="1" min="55" max="55" width="4.25"/>
    <col customWidth="1" min="56" max="56" width="6.0"/>
  </cols>
  <sheetData>
    <row r="1" ht="7.5" customHeight="1">
      <c r="A1" s="10"/>
      <c r="B1" s="10"/>
      <c r="C1" s="11">
        <v>0.03</v>
      </c>
      <c r="D1" s="10"/>
      <c r="E1" s="10"/>
      <c r="F1" s="10"/>
      <c r="G1" s="10"/>
      <c r="H1" s="10"/>
      <c r="I1" s="12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</row>
    <row r="2" ht="6.75" customHeight="1">
      <c r="A2" s="10"/>
      <c r="B2" s="13"/>
      <c r="C2" s="14"/>
      <c r="D2" s="14"/>
      <c r="E2" s="14"/>
      <c r="F2" s="14"/>
      <c r="G2" s="14"/>
      <c r="H2" s="14"/>
      <c r="I2" s="15"/>
      <c r="J2" s="14"/>
      <c r="K2" s="16"/>
      <c r="L2" s="10"/>
      <c r="M2" s="13"/>
      <c r="N2" s="14"/>
      <c r="O2" s="14"/>
      <c r="P2" s="14"/>
      <c r="Q2" s="14"/>
      <c r="R2" s="14"/>
      <c r="S2" s="14"/>
      <c r="T2" s="14"/>
      <c r="U2" s="14"/>
      <c r="V2" s="16"/>
      <c r="W2" s="10"/>
      <c r="X2" s="13"/>
      <c r="Y2" s="14"/>
      <c r="Z2" s="14"/>
      <c r="AA2" s="14"/>
      <c r="AB2" s="14"/>
      <c r="AC2" s="14"/>
      <c r="AD2" s="14"/>
      <c r="AE2" s="14"/>
      <c r="AF2" s="14"/>
      <c r="AG2" s="16"/>
      <c r="AH2" s="10"/>
      <c r="AI2" s="13"/>
      <c r="AJ2" s="14"/>
      <c r="AK2" s="14"/>
      <c r="AL2" s="14"/>
      <c r="AM2" s="14"/>
      <c r="AN2" s="14"/>
      <c r="AO2" s="14"/>
      <c r="AP2" s="14"/>
      <c r="AQ2" s="14"/>
      <c r="AR2" s="16"/>
      <c r="AS2" s="10"/>
      <c r="AT2" s="13"/>
      <c r="AU2" s="14"/>
      <c r="AV2" s="14"/>
      <c r="AW2" s="14"/>
      <c r="AX2" s="14"/>
      <c r="AY2" s="14"/>
      <c r="AZ2" s="14"/>
      <c r="BA2" s="14"/>
      <c r="BB2" s="14"/>
      <c r="BC2" s="16"/>
      <c r="BD2" s="10"/>
    </row>
    <row r="3" ht="15.0" customHeight="1">
      <c r="A3" s="10"/>
      <c r="B3" s="17"/>
      <c r="C3" s="18" t="s">
        <v>10</v>
      </c>
      <c r="D3" s="19"/>
      <c r="E3" s="19"/>
      <c r="F3" s="19"/>
      <c r="G3" s="19"/>
      <c r="H3" s="19"/>
      <c r="I3" s="19"/>
      <c r="J3" s="20"/>
      <c r="K3" s="21"/>
      <c r="L3" s="10"/>
      <c r="M3" s="17"/>
      <c r="N3" s="22" t="s">
        <v>11</v>
      </c>
      <c r="O3" s="19"/>
      <c r="P3" s="19"/>
      <c r="Q3" s="19"/>
      <c r="R3" s="19"/>
      <c r="S3" s="19"/>
      <c r="T3" s="19"/>
      <c r="U3" s="20"/>
      <c r="V3" s="21"/>
      <c r="W3" s="10"/>
      <c r="X3" s="17"/>
      <c r="Y3" s="23" t="s">
        <v>12</v>
      </c>
      <c r="Z3" s="19"/>
      <c r="AA3" s="19"/>
      <c r="AB3" s="19"/>
      <c r="AC3" s="19"/>
      <c r="AD3" s="19"/>
      <c r="AE3" s="19"/>
      <c r="AF3" s="20"/>
      <c r="AG3" s="21"/>
      <c r="AH3" s="10"/>
      <c r="AI3" s="17"/>
      <c r="AJ3" s="24" t="s">
        <v>13</v>
      </c>
      <c r="AK3" s="19"/>
      <c r="AL3" s="19"/>
      <c r="AM3" s="19"/>
      <c r="AN3" s="19"/>
      <c r="AO3" s="19"/>
      <c r="AP3" s="19"/>
      <c r="AQ3" s="20"/>
      <c r="AR3" s="21"/>
      <c r="AS3" s="25"/>
      <c r="AT3" s="17"/>
      <c r="AU3" s="26" t="s">
        <v>14</v>
      </c>
      <c r="AV3" s="19"/>
      <c r="AW3" s="19"/>
      <c r="AX3" s="19"/>
      <c r="AY3" s="19"/>
      <c r="AZ3" s="19"/>
      <c r="BA3" s="19"/>
      <c r="BB3" s="20"/>
      <c r="BC3" s="21"/>
      <c r="BD3" s="10"/>
    </row>
    <row r="4" ht="13.5" customHeight="1">
      <c r="A4" s="10"/>
      <c r="B4" s="17"/>
      <c r="C4" s="27"/>
      <c r="D4" s="28"/>
      <c r="E4" s="28"/>
      <c r="F4" s="28"/>
      <c r="G4" s="28"/>
      <c r="H4" s="28"/>
      <c r="I4" s="28"/>
      <c r="J4" s="29"/>
      <c r="K4" s="21"/>
      <c r="L4" s="10"/>
      <c r="M4" s="17"/>
      <c r="N4" s="27"/>
      <c r="O4" s="28"/>
      <c r="P4" s="28"/>
      <c r="Q4" s="28"/>
      <c r="R4" s="28"/>
      <c r="S4" s="28"/>
      <c r="T4" s="28"/>
      <c r="U4" s="29"/>
      <c r="V4" s="21"/>
      <c r="W4" s="25"/>
      <c r="X4" s="17"/>
      <c r="Y4" s="27"/>
      <c r="Z4" s="28"/>
      <c r="AA4" s="28"/>
      <c r="AB4" s="28"/>
      <c r="AC4" s="28"/>
      <c r="AD4" s="28"/>
      <c r="AE4" s="28"/>
      <c r="AF4" s="29"/>
      <c r="AG4" s="21"/>
      <c r="AH4" s="25"/>
      <c r="AI4" s="17"/>
      <c r="AJ4" s="27"/>
      <c r="AK4" s="28"/>
      <c r="AL4" s="28"/>
      <c r="AM4" s="28"/>
      <c r="AN4" s="28"/>
      <c r="AO4" s="28"/>
      <c r="AP4" s="28"/>
      <c r="AQ4" s="29"/>
      <c r="AR4" s="21"/>
      <c r="AS4" s="25"/>
      <c r="AT4" s="17"/>
      <c r="AU4" s="27"/>
      <c r="AV4" s="28"/>
      <c r="AW4" s="28"/>
      <c r="AX4" s="28"/>
      <c r="AY4" s="28"/>
      <c r="AZ4" s="28"/>
      <c r="BA4" s="28"/>
      <c r="BB4" s="29"/>
      <c r="BC4" s="21"/>
      <c r="BD4" s="25"/>
    </row>
    <row r="5" ht="13.5" customHeight="1">
      <c r="A5" s="10"/>
      <c r="B5" s="17"/>
      <c r="C5" s="30" t="s">
        <v>15</v>
      </c>
      <c r="D5" s="10"/>
      <c r="E5" s="10"/>
      <c r="F5" s="10"/>
      <c r="G5" s="10"/>
      <c r="H5" s="30" t="s">
        <v>16</v>
      </c>
      <c r="I5" s="12"/>
      <c r="J5" s="10"/>
      <c r="K5" s="21"/>
      <c r="L5" s="10"/>
      <c r="M5" s="17"/>
      <c r="N5" s="30" t="s">
        <v>17</v>
      </c>
      <c r="O5" s="10"/>
      <c r="P5" s="10"/>
      <c r="Q5" s="10"/>
      <c r="R5" s="10"/>
      <c r="S5" s="10"/>
      <c r="T5" s="30" t="s">
        <v>18</v>
      </c>
      <c r="U5" s="10"/>
      <c r="V5" s="21"/>
      <c r="W5" s="25"/>
      <c r="X5" s="17"/>
      <c r="Y5" s="30" t="s">
        <v>19</v>
      </c>
      <c r="Z5" s="10"/>
      <c r="AA5" s="10"/>
      <c r="AB5" s="10"/>
      <c r="AC5" s="10"/>
      <c r="AD5" s="30" t="s">
        <v>20</v>
      </c>
      <c r="AE5" s="10"/>
      <c r="AF5" s="10"/>
      <c r="AG5" s="21"/>
      <c r="AH5" s="25"/>
      <c r="AI5" s="17"/>
      <c r="AJ5" s="30" t="s">
        <v>21</v>
      </c>
      <c r="AK5" s="10"/>
      <c r="AL5" s="10"/>
      <c r="AM5" s="10"/>
      <c r="AN5" s="10"/>
      <c r="AO5" s="30" t="s">
        <v>22</v>
      </c>
      <c r="AP5" s="10"/>
      <c r="AQ5" s="10"/>
      <c r="AR5" s="21"/>
      <c r="AS5" s="10"/>
      <c r="AT5" s="17"/>
      <c r="AU5" s="30" t="s">
        <v>23</v>
      </c>
      <c r="AV5" s="10"/>
      <c r="AW5" s="10"/>
      <c r="AX5" s="10"/>
      <c r="AY5" s="10"/>
      <c r="AZ5" s="30" t="s">
        <v>24</v>
      </c>
      <c r="BA5" s="10"/>
      <c r="BB5" s="10"/>
      <c r="BC5" s="21"/>
      <c r="BD5" s="25"/>
    </row>
    <row r="6" ht="37.5" customHeight="1">
      <c r="A6" s="10"/>
      <c r="B6" s="17"/>
      <c r="C6" s="31" t="s">
        <v>25</v>
      </c>
      <c r="D6" s="32"/>
      <c r="E6" s="32"/>
      <c r="F6" s="32"/>
      <c r="G6" s="32"/>
      <c r="H6" s="32"/>
      <c r="I6" s="32"/>
      <c r="J6" s="33"/>
      <c r="K6" s="21"/>
      <c r="L6" s="10"/>
      <c r="M6" s="17"/>
      <c r="N6" s="31" t="str">
        <f>C6</f>
        <v>Plan 1 nivel
(90 Horas reloj - Nivel A1)</v>
      </c>
      <c r="O6" s="32"/>
      <c r="P6" s="32"/>
      <c r="Q6" s="32"/>
      <c r="R6" s="32"/>
      <c r="S6" s="32"/>
      <c r="T6" s="32"/>
      <c r="U6" s="33"/>
      <c r="V6" s="21"/>
      <c r="W6" s="10"/>
      <c r="X6" s="17"/>
      <c r="Y6" s="31" t="str">
        <f>C6</f>
        <v>Plan 1 nivel
(90 Horas reloj - Nivel A1)</v>
      </c>
      <c r="Z6" s="32"/>
      <c r="AA6" s="32"/>
      <c r="AB6" s="32"/>
      <c r="AC6" s="32"/>
      <c r="AD6" s="32"/>
      <c r="AE6" s="32"/>
      <c r="AF6" s="33"/>
      <c r="AG6" s="21"/>
      <c r="AH6" s="10"/>
      <c r="AI6" s="17"/>
      <c r="AJ6" s="31" t="str">
        <f>C6</f>
        <v>Plan 1 nivel
(90 Horas reloj - Nivel A1)</v>
      </c>
      <c r="AK6" s="32"/>
      <c r="AL6" s="32"/>
      <c r="AM6" s="32"/>
      <c r="AN6" s="32"/>
      <c r="AO6" s="32"/>
      <c r="AP6" s="32"/>
      <c r="AQ6" s="33"/>
      <c r="AR6" s="21"/>
      <c r="AS6" s="34"/>
      <c r="AT6" s="17"/>
      <c r="AU6" s="31" t="str">
        <f>C6</f>
        <v>Plan 1 nivel
(90 Horas reloj - Nivel A1)</v>
      </c>
      <c r="AV6" s="32"/>
      <c r="AW6" s="32"/>
      <c r="AX6" s="32"/>
      <c r="AY6" s="32"/>
      <c r="AZ6" s="32"/>
      <c r="BA6" s="32"/>
      <c r="BB6" s="33"/>
      <c r="BC6" s="21"/>
      <c r="BD6" s="10"/>
    </row>
    <row r="7" ht="13.5" customHeight="1">
      <c r="A7" s="35"/>
      <c r="B7" s="36"/>
      <c r="C7" s="37" t="s">
        <v>26</v>
      </c>
      <c r="D7" s="37" t="s">
        <v>27</v>
      </c>
      <c r="E7" s="37" t="s">
        <v>28</v>
      </c>
      <c r="F7" s="37" t="s">
        <v>29</v>
      </c>
      <c r="G7" s="37" t="s">
        <v>30</v>
      </c>
      <c r="H7" s="37" t="s">
        <v>31</v>
      </c>
      <c r="I7" s="38" t="s">
        <v>32</v>
      </c>
      <c r="J7" s="39" t="s">
        <v>33</v>
      </c>
      <c r="K7" s="40"/>
      <c r="L7" s="35"/>
      <c r="M7" s="36"/>
      <c r="N7" s="41" t="s">
        <v>26</v>
      </c>
      <c r="O7" s="41" t="s">
        <v>27</v>
      </c>
      <c r="P7" s="41" t="s">
        <v>28</v>
      </c>
      <c r="Q7" s="37" t="s">
        <v>29</v>
      </c>
      <c r="R7" s="37" t="s">
        <v>30</v>
      </c>
      <c r="S7" s="42" t="s">
        <v>31</v>
      </c>
      <c r="T7" s="38" t="s">
        <v>32</v>
      </c>
      <c r="U7" s="39" t="s">
        <v>33</v>
      </c>
      <c r="V7" s="40"/>
      <c r="W7" s="43"/>
      <c r="X7" s="36"/>
      <c r="Y7" s="41" t="s">
        <v>26</v>
      </c>
      <c r="Z7" s="41" t="s">
        <v>27</v>
      </c>
      <c r="AA7" s="41" t="s">
        <v>28</v>
      </c>
      <c r="AB7" s="37" t="s">
        <v>29</v>
      </c>
      <c r="AC7" s="37" t="s">
        <v>30</v>
      </c>
      <c r="AD7" s="42" t="s">
        <v>31</v>
      </c>
      <c r="AE7" s="38" t="s">
        <v>32</v>
      </c>
      <c r="AF7" s="39" t="s">
        <v>33</v>
      </c>
      <c r="AG7" s="40"/>
      <c r="AH7" s="43"/>
      <c r="AI7" s="36"/>
      <c r="AJ7" s="41" t="s">
        <v>26</v>
      </c>
      <c r="AK7" s="41" t="s">
        <v>27</v>
      </c>
      <c r="AL7" s="41" t="s">
        <v>28</v>
      </c>
      <c r="AM7" s="37" t="s">
        <v>29</v>
      </c>
      <c r="AN7" s="37" t="s">
        <v>30</v>
      </c>
      <c r="AO7" s="41" t="s">
        <v>31</v>
      </c>
      <c r="AP7" s="44" t="s">
        <v>32</v>
      </c>
      <c r="AQ7" s="45" t="s">
        <v>33</v>
      </c>
      <c r="AR7" s="40"/>
      <c r="AS7" s="46"/>
      <c r="AT7" s="36"/>
      <c r="AU7" s="37" t="s">
        <v>26</v>
      </c>
      <c r="AV7" s="37" t="s">
        <v>27</v>
      </c>
      <c r="AW7" s="37" t="s">
        <v>28</v>
      </c>
      <c r="AX7" s="37" t="s">
        <v>29</v>
      </c>
      <c r="AY7" s="37" t="s">
        <v>30</v>
      </c>
      <c r="AZ7" s="37" t="s">
        <v>31</v>
      </c>
      <c r="BA7" s="38" t="s">
        <v>32</v>
      </c>
      <c r="BB7" s="39" t="s">
        <v>33</v>
      </c>
      <c r="BC7" s="40"/>
      <c r="BD7" s="43"/>
    </row>
    <row r="8" ht="13.5" customHeight="1">
      <c r="A8" s="35"/>
      <c r="B8" s="36"/>
      <c r="C8" s="47">
        <f>'IPC 2025'!E3</f>
        <v>1087000</v>
      </c>
      <c r="D8" s="48">
        <v>1.0</v>
      </c>
      <c r="E8" s="49">
        <v>0.1</v>
      </c>
      <c r="F8" s="50">
        <f>H8</f>
        <v>978300</v>
      </c>
      <c r="G8" s="50">
        <v>0.0</v>
      </c>
      <c r="H8" s="50">
        <f>C8-(C8*E8)</f>
        <v>978300</v>
      </c>
      <c r="I8" s="50">
        <f>H8/J$8</f>
        <v>10870</v>
      </c>
      <c r="J8" s="48">
        <v>90.0</v>
      </c>
      <c r="K8" s="40"/>
      <c r="L8" s="35"/>
      <c r="M8" s="36"/>
      <c r="N8" s="47">
        <f>C8</f>
        <v>1087000</v>
      </c>
      <c r="O8" s="48">
        <v>1.0</v>
      </c>
      <c r="P8" s="49">
        <f>(N8-S8)/N8</f>
        <v>0.145</v>
      </c>
      <c r="Q8" s="50">
        <f>S8</f>
        <v>929385</v>
      </c>
      <c r="R8" s="50">
        <v>0.0</v>
      </c>
      <c r="S8" s="50">
        <f t="shared" ref="S8:S9" si="1">H8*0.95</f>
        <v>929385</v>
      </c>
      <c r="T8" s="50">
        <f>S8/U8</f>
        <v>10326.5</v>
      </c>
      <c r="U8" s="48">
        <v>90.0</v>
      </c>
      <c r="V8" s="40"/>
      <c r="W8" s="46"/>
      <c r="X8" s="36"/>
      <c r="Y8" s="47">
        <f>+C8</f>
        <v>1087000</v>
      </c>
      <c r="Z8" s="48">
        <v>1.0</v>
      </c>
      <c r="AA8" s="49">
        <f>(Y8-AD8)/Y8</f>
        <v>0.19</v>
      </c>
      <c r="AB8" s="50">
        <f>AD8</f>
        <v>880470</v>
      </c>
      <c r="AC8" s="50">
        <v>0.0</v>
      </c>
      <c r="AD8" s="50">
        <f t="shared" ref="AD8:AD9" si="2">H8*0.9</f>
        <v>880470</v>
      </c>
      <c r="AE8" s="50">
        <f>AD8/AF8</f>
        <v>9783</v>
      </c>
      <c r="AF8" s="48">
        <v>90.0</v>
      </c>
      <c r="AG8" s="40"/>
      <c r="AH8" s="46"/>
      <c r="AI8" s="36"/>
      <c r="AJ8" s="47">
        <f>+C8</f>
        <v>1087000</v>
      </c>
      <c r="AK8" s="48">
        <v>1.0</v>
      </c>
      <c r="AL8" s="49">
        <f>(AJ8-AO8)/AJ8</f>
        <v>0.235</v>
      </c>
      <c r="AM8" s="50">
        <f>AO8</f>
        <v>831555</v>
      </c>
      <c r="AN8" s="50">
        <v>0.0</v>
      </c>
      <c r="AO8" s="50">
        <f t="shared" ref="AO8:AO9" si="3">H8*0.85</f>
        <v>831555</v>
      </c>
      <c r="AP8" s="50">
        <f>AO8/AQ8</f>
        <v>9239.5</v>
      </c>
      <c r="AQ8" s="48">
        <v>90.0</v>
      </c>
      <c r="AR8" s="40"/>
      <c r="AS8" s="51"/>
      <c r="AT8" s="36"/>
      <c r="AU8" s="47">
        <f>+C8</f>
        <v>1087000</v>
      </c>
      <c r="AV8" s="48">
        <v>1.0</v>
      </c>
      <c r="AW8" s="49">
        <f>(AU8-AZ8)/AU8</f>
        <v>0.28</v>
      </c>
      <c r="AX8" s="50">
        <f>AZ8</f>
        <v>782640</v>
      </c>
      <c r="AY8" s="50">
        <v>0.0</v>
      </c>
      <c r="AZ8" s="50">
        <f t="shared" ref="AZ8:AZ9" si="4">H8*0.8</f>
        <v>782640</v>
      </c>
      <c r="BA8" s="50">
        <f>AZ8/BB8</f>
        <v>8696</v>
      </c>
      <c r="BB8" s="48">
        <v>90.0</v>
      </c>
      <c r="BC8" s="40"/>
      <c r="BD8" s="46"/>
    </row>
    <row r="9" ht="13.5" customHeight="1">
      <c r="A9" s="35"/>
      <c r="B9" s="36"/>
      <c r="C9" s="52"/>
      <c r="D9" s="48">
        <v>2.0</v>
      </c>
      <c r="E9" s="49">
        <v>0.0</v>
      </c>
      <c r="F9" s="53">
        <f>H9/D9</f>
        <v>543500</v>
      </c>
      <c r="G9" s="50">
        <f>(H9-F9)/(D9-1)</f>
        <v>543500</v>
      </c>
      <c r="H9" s="50">
        <f>C8-(C8*E9)</f>
        <v>1087000</v>
      </c>
      <c r="I9" s="50">
        <f>H9/J8</f>
        <v>12077.77778</v>
      </c>
      <c r="J9" s="54">
        <f>J8/D9</f>
        <v>45</v>
      </c>
      <c r="K9" s="40"/>
      <c r="L9" s="35"/>
      <c r="M9" s="36"/>
      <c r="N9" s="52"/>
      <c r="O9" s="48">
        <f>D9</f>
        <v>2</v>
      </c>
      <c r="P9" s="49">
        <f>(N8-S9)/N8</f>
        <v>0.05</v>
      </c>
      <c r="Q9" s="53">
        <f>F9-(F9*5%)</f>
        <v>516325</v>
      </c>
      <c r="R9" s="50">
        <f>(S9-Q9)/(O9-1)</f>
        <v>516325</v>
      </c>
      <c r="S9" s="50">
        <f t="shared" si="1"/>
        <v>1032650</v>
      </c>
      <c r="T9" s="50">
        <f>S9/U8</f>
        <v>11473.88889</v>
      </c>
      <c r="U9" s="48">
        <f>U8/O9</f>
        <v>45</v>
      </c>
      <c r="V9" s="40"/>
      <c r="W9" s="51"/>
      <c r="X9" s="36"/>
      <c r="Y9" s="52"/>
      <c r="Z9" s="48">
        <f>+D9</f>
        <v>2</v>
      </c>
      <c r="AA9" s="49">
        <f>(Y8-AD9)/Y8</f>
        <v>0.1</v>
      </c>
      <c r="AB9" s="53">
        <f>F9-(F9*10%)</f>
        <v>489150</v>
      </c>
      <c r="AC9" s="50">
        <f>(AD9-AB9)/(Z9-1)</f>
        <v>489150</v>
      </c>
      <c r="AD9" s="50">
        <f t="shared" si="2"/>
        <v>978300</v>
      </c>
      <c r="AE9" s="50">
        <f>AD9/AF8</f>
        <v>10870</v>
      </c>
      <c r="AF9" s="48">
        <f>AF8/Z9</f>
        <v>45</v>
      </c>
      <c r="AG9" s="40"/>
      <c r="AH9" s="51"/>
      <c r="AI9" s="36"/>
      <c r="AJ9" s="52"/>
      <c r="AK9" s="48">
        <f>+D9</f>
        <v>2</v>
      </c>
      <c r="AL9" s="49">
        <f>(AJ8-AO9)/AJ8</f>
        <v>0.15</v>
      </c>
      <c r="AM9" s="53">
        <f>F9-(F9*15%)</f>
        <v>461975</v>
      </c>
      <c r="AN9" s="50">
        <f>(AO9-AM9)/(AK9-1)</f>
        <v>461975</v>
      </c>
      <c r="AO9" s="50">
        <f t="shared" si="3"/>
        <v>923950</v>
      </c>
      <c r="AP9" s="50">
        <f>AO9/AQ8</f>
        <v>10266.11111</v>
      </c>
      <c r="AQ9" s="48">
        <f>AQ8/AK9</f>
        <v>45</v>
      </c>
      <c r="AR9" s="40"/>
      <c r="AS9" s="51"/>
      <c r="AT9" s="36"/>
      <c r="AU9" s="52"/>
      <c r="AV9" s="48">
        <f>+D9</f>
        <v>2</v>
      </c>
      <c r="AW9" s="49">
        <f>(AU8-AZ9)/AU8</f>
        <v>0.2</v>
      </c>
      <c r="AX9" s="53">
        <f>F9-(F9*20%)</f>
        <v>434800</v>
      </c>
      <c r="AY9" s="50">
        <f>(AZ9-AX9)/(AV9-1)</f>
        <v>434800</v>
      </c>
      <c r="AZ9" s="50">
        <f t="shared" si="4"/>
        <v>869600</v>
      </c>
      <c r="BA9" s="50">
        <f>AZ9/BB8</f>
        <v>9662.222222</v>
      </c>
      <c r="BB9" s="48">
        <f>BB8/AV9</f>
        <v>45</v>
      </c>
      <c r="BC9" s="40"/>
      <c r="BD9" s="51"/>
    </row>
    <row r="10" ht="13.5" customHeight="1">
      <c r="A10" s="35"/>
      <c r="B10" s="36"/>
      <c r="C10" s="35"/>
      <c r="D10" s="35"/>
      <c r="E10" s="35"/>
      <c r="F10" s="35"/>
      <c r="G10" s="35"/>
      <c r="H10" s="35"/>
      <c r="I10" s="35"/>
      <c r="J10" s="35"/>
      <c r="K10" s="40"/>
      <c r="L10" s="35"/>
      <c r="M10" s="36"/>
      <c r="N10" s="55"/>
      <c r="O10" s="55"/>
      <c r="P10" s="35"/>
      <c r="Q10" s="35"/>
      <c r="R10" s="35"/>
      <c r="S10" s="35"/>
      <c r="T10" s="35"/>
      <c r="U10" s="35"/>
      <c r="V10" s="40"/>
      <c r="W10" s="51"/>
      <c r="X10" s="36"/>
      <c r="Y10" s="55"/>
      <c r="Z10" s="55"/>
      <c r="AA10" s="35"/>
      <c r="AB10" s="35"/>
      <c r="AC10" s="35"/>
      <c r="AD10" s="35"/>
      <c r="AE10" s="35"/>
      <c r="AF10" s="35"/>
      <c r="AG10" s="40"/>
      <c r="AH10" s="51"/>
      <c r="AI10" s="36"/>
      <c r="AJ10" s="35"/>
      <c r="AK10" s="35"/>
      <c r="AL10" s="35"/>
      <c r="AM10" s="35"/>
      <c r="AN10" s="35"/>
      <c r="AO10" s="35"/>
      <c r="AP10" s="35"/>
      <c r="AQ10" s="35"/>
      <c r="AR10" s="40"/>
      <c r="AS10" s="35"/>
      <c r="AT10" s="36"/>
      <c r="AU10" s="35"/>
      <c r="AV10" s="35"/>
      <c r="AW10" s="35"/>
      <c r="AX10" s="35"/>
      <c r="AY10" s="35"/>
      <c r="AZ10" s="35"/>
      <c r="BA10" s="35"/>
      <c r="BB10" s="35"/>
      <c r="BC10" s="40"/>
      <c r="BD10" s="51"/>
    </row>
    <row r="11" ht="33.75" customHeight="1">
      <c r="A11" s="35"/>
      <c r="B11" s="36"/>
      <c r="C11" s="56" t="s">
        <v>34</v>
      </c>
      <c r="D11" s="32"/>
      <c r="E11" s="32"/>
      <c r="F11" s="32"/>
      <c r="G11" s="32"/>
      <c r="H11" s="32"/>
      <c r="I11" s="32"/>
      <c r="J11" s="33"/>
      <c r="K11" s="40"/>
      <c r="L11" s="35"/>
      <c r="M11" s="36"/>
      <c r="N11" s="56" t="str">
        <f>C11</f>
        <v>Plan 1 nivel
(114 Horas reloj - Nivel A2)</v>
      </c>
      <c r="O11" s="32"/>
      <c r="P11" s="32"/>
      <c r="Q11" s="32"/>
      <c r="R11" s="32"/>
      <c r="S11" s="32"/>
      <c r="T11" s="32"/>
      <c r="U11" s="33"/>
      <c r="V11" s="40"/>
      <c r="W11" s="35"/>
      <c r="X11" s="36"/>
      <c r="Y11" s="56" t="str">
        <f>C11</f>
        <v>Plan 1 nivel
(114 Horas reloj - Nivel A2)</v>
      </c>
      <c r="Z11" s="32"/>
      <c r="AA11" s="32"/>
      <c r="AB11" s="32"/>
      <c r="AC11" s="32"/>
      <c r="AD11" s="32"/>
      <c r="AE11" s="32"/>
      <c r="AF11" s="32"/>
      <c r="AG11" s="40"/>
      <c r="AH11" s="35"/>
      <c r="AI11" s="36"/>
      <c r="AJ11" s="56" t="str">
        <f>C11</f>
        <v>Plan 1 nivel
(114 Horas reloj - Nivel A2)</v>
      </c>
      <c r="AK11" s="32"/>
      <c r="AL11" s="32"/>
      <c r="AM11" s="32"/>
      <c r="AN11" s="32"/>
      <c r="AO11" s="32"/>
      <c r="AP11" s="32"/>
      <c r="AQ11" s="33"/>
      <c r="AR11" s="40"/>
      <c r="AS11" s="43"/>
      <c r="AT11" s="36"/>
      <c r="AU11" s="56" t="str">
        <f>C11</f>
        <v>Plan 1 nivel
(114 Horas reloj - Nivel A2)</v>
      </c>
      <c r="AV11" s="32"/>
      <c r="AW11" s="32"/>
      <c r="AX11" s="32"/>
      <c r="AY11" s="32"/>
      <c r="AZ11" s="32"/>
      <c r="BA11" s="32"/>
      <c r="BB11" s="33"/>
      <c r="BC11" s="40"/>
      <c r="BD11" s="35"/>
    </row>
    <row r="12" ht="13.5" customHeight="1">
      <c r="A12" s="35"/>
      <c r="B12" s="36"/>
      <c r="C12" s="41" t="s">
        <v>26</v>
      </c>
      <c r="D12" s="41" t="s">
        <v>27</v>
      </c>
      <c r="E12" s="41" t="s">
        <v>28</v>
      </c>
      <c r="F12" s="37" t="s">
        <v>29</v>
      </c>
      <c r="G12" s="37" t="s">
        <v>30</v>
      </c>
      <c r="H12" s="41" t="s">
        <v>31</v>
      </c>
      <c r="I12" s="57" t="s">
        <v>32</v>
      </c>
      <c r="J12" s="39" t="s">
        <v>33</v>
      </c>
      <c r="K12" s="40"/>
      <c r="L12" s="35"/>
      <c r="M12" s="36"/>
      <c r="N12" s="41" t="s">
        <v>26</v>
      </c>
      <c r="O12" s="41" t="s">
        <v>27</v>
      </c>
      <c r="P12" s="41" t="s">
        <v>28</v>
      </c>
      <c r="Q12" s="37" t="s">
        <v>29</v>
      </c>
      <c r="R12" s="37" t="s">
        <v>30</v>
      </c>
      <c r="S12" s="41" t="s">
        <v>31</v>
      </c>
      <c r="T12" s="57" t="s">
        <v>32</v>
      </c>
      <c r="U12" s="39" t="s">
        <v>33</v>
      </c>
      <c r="V12" s="40"/>
      <c r="W12" s="43"/>
      <c r="X12" s="36"/>
      <c r="Y12" s="41" t="s">
        <v>26</v>
      </c>
      <c r="Z12" s="41" t="s">
        <v>27</v>
      </c>
      <c r="AA12" s="41" t="s">
        <v>28</v>
      </c>
      <c r="AB12" s="37" t="s">
        <v>29</v>
      </c>
      <c r="AC12" s="37" t="s">
        <v>30</v>
      </c>
      <c r="AD12" s="41" t="s">
        <v>31</v>
      </c>
      <c r="AE12" s="57" t="s">
        <v>32</v>
      </c>
      <c r="AF12" s="39" t="s">
        <v>33</v>
      </c>
      <c r="AG12" s="40"/>
      <c r="AH12" s="43"/>
      <c r="AI12" s="36"/>
      <c r="AJ12" s="41" t="s">
        <v>26</v>
      </c>
      <c r="AK12" s="41" t="s">
        <v>27</v>
      </c>
      <c r="AL12" s="41" t="s">
        <v>28</v>
      </c>
      <c r="AM12" s="37" t="s">
        <v>29</v>
      </c>
      <c r="AN12" s="37" t="s">
        <v>30</v>
      </c>
      <c r="AO12" s="41" t="s">
        <v>31</v>
      </c>
      <c r="AP12" s="57" t="s">
        <v>32</v>
      </c>
      <c r="AQ12" s="39" t="s">
        <v>33</v>
      </c>
      <c r="AR12" s="40"/>
      <c r="AS12" s="46"/>
      <c r="AT12" s="36"/>
      <c r="AU12" s="37" t="s">
        <v>26</v>
      </c>
      <c r="AV12" s="37" t="s">
        <v>27</v>
      </c>
      <c r="AW12" s="37" t="s">
        <v>28</v>
      </c>
      <c r="AX12" s="37" t="s">
        <v>29</v>
      </c>
      <c r="AY12" s="37" t="s">
        <v>30</v>
      </c>
      <c r="AZ12" s="37" t="s">
        <v>31</v>
      </c>
      <c r="BA12" s="38" t="s">
        <v>32</v>
      </c>
      <c r="BB12" s="39" t="s">
        <v>33</v>
      </c>
      <c r="BC12" s="40"/>
      <c r="BD12" s="43"/>
    </row>
    <row r="13" ht="13.5" customHeight="1">
      <c r="A13" s="35"/>
      <c r="B13" s="36"/>
      <c r="C13" s="47">
        <f>'IPC 2025'!E4</f>
        <v>1377000</v>
      </c>
      <c r="D13" s="48">
        <v>1.0</v>
      </c>
      <c r="E13" s="49">
        <v>0.1</v>
      </c>
      <c r="F13" s="50">
        <f>H13</f>
        <v>1239300</v>
      </c>
      <c r="G13" s="50">
        <v>0.0</v>
      </c>
      <c r="H13" s="50">
        <f>C13-(C13*E13)</f>
        <v>1239300</v>
      </c>
      <c r="I13" s="58">
        <f>H13/J13</f>
        <v>10871.05263</v>
      </c>
      <c r="J13" s="48">
        <v>114.0</v>
      </c>
      <c r="K13" s="40"/>
      <c r="L13" s="35"/>
      <c r="M13" s="36"/>
      <c r="N13" s="47">
        <f>C13</f>
        <v>1377000</v>
      </c>
      <c r="O13" s="48">
        <v>1.0</v>
      </c>
      <c r="P13" s="49">
        <f>(N13-S13)/N13</f>
        <v>0.145</v>
      </c>
      <c r="Q13" s="50">
        <f>S13</f>
        <v>1177335</v>
      </c>
      <c r="R13" s="50">
        <v>0.0</v>
      </c>
      <c r="S13" s="50">
        <f t="shared" ref="S13:S14" si="5">H13*0.95</f>
        <v>1177335</v>
      </c>
      <c r="T13" s="58">
        <f>S13/U13</f>
        <v>10327.5</v>
      </c>
      <c r="U13" s="48">
        <v>114.0</v>
      </c>
      <c r="V13" s="40"/>
      <c r="W13" s="46"/>
      <c r="X13" s="36"/>
      <c r="Y13" s="47">
        <f>+C13</f>
        <v>1377000</v>
      </c>
      <c r="Z13" s="48">
        <v>1.0</v>
      </c>
      <c r="AA13" s="49">
        <f>(Y13-AD13)/Y13</f>
        <v>0.19</v>
      </c>
      <c r="AB13" s="50">
        <f>AD13</f>
        <v>1115370</v>
      </c>
      <c r="AC13" s="50">
        <v>0.0</v>
      </c>
      <c r="AD13" s="50">
        <f t="shared" ref="AD13:AD14" si="6">H13*0.9</f>
        <v>1115370</v>
      </c>
      <c r="AE13" s="58">
        <f>AD13/AF13</f>
        <v>9783.947368</v>
      </c>
      <c r="AF13" s="48">
        <v>114.0</v>
      </c>
      <c r="AG13" s="40"/>
      <c r="AH13" s="46"/>
      <c r="AI13" s="36"/>
      <c r="AJ13" s="47">
        <f>+C13</f>
        <v>1377000</v>
      </c>
      <c r="AK13" s="48">
        <v>1.0</v>
      </c>
      <c r="AL13" s="49">
        <f>(AJ13-AO13)/AJ13</f>
        <v>0.235</v>
      </c>
      <c r="AM13" s="50">
        <f>AO13</f>
        <v>1053405</v>
      </c>
      <c r="AN13" s="50">
        <v>0.0</v>
      </c>
      <c r="AO13" s="50">
        <f t="shared" ref="AO13:AO14" si="7">H13*0.85</f>
        <v>1053405</v>
      </c>
      <c r="AP13" s="58">
        <f>AO13/AQ13</f>
        <v>9240.394737</v>
      </c>
      <c r="AQ13" s="48">
        <v>114.0</v>
      </c>
      <c r="AR13" s="40"/>
      <c r="AS13" s="51"/>
      <c r="AT13" s="36"/>
      <c r="AU13" s="47">
        <f>+C13</f>
        <v>1377000</v>
      </c>
      <c r="AV13" s="48">
        <v>1.0</v>
      </c>
      <c r="AW13" s="49">
        <f>(AU13-AZ13)/AU13</f>
        <v>0.28</v>
      </c>
      <c r="AX13" s="50">
        <f>AZ13</f>
        <v>991440</v>
      </c>
      <c r="AY13" s="50">
        <v>0.0</v>
      </c>
      <c r="AZ13" s="50">
        <f t="shared" ref="AZ13:AZ14" si="8">H13*0.8</f>
        <v>991440</v>
      </c>
      <c r="BA13" s="50">
        <f>AZ13/BB13</f>
        <v>8696.842105</v>
      </c>
      <c r="BB13" s="48">
        <v>114.0</v>
      </c>
      <c r="BC13" s="40"/>
      <c r="BD13" s="46"/>
    </row>
    <row r="14" ht="13.5" customHeight="1">
      <c r="A14" s="35"/>
      <c r="B14" s="36"/>
      <c r="C14" s="52"/>
      <c r="D14" s="48">
        <v>3.0</v>
      </c>
      <c r="E14" s="49">
        <v>0.0</v>
      </c>
      <c r="F14" s="53">
        <f>H14/D14</f>
        <v>459000</v>
      </c>
      <c r="G14" s="50">
        <f>(H14-F14)/(D14-1)</f>
        <v>459000</v>
      </c>
      <c r="H14" s="50">
        <f>C13-(C13*E14)</f>
        <v>1377000</v>
      </c>
      <c r="I14" s="58">
        <f>H14/J13</f>
        <v>12078.94737</v>
      </c>
      <c r="J14" s="54">
        <f>J13/D14</f>
        <v>38</v>
      </c>
      <c r="K14" s="40"/>
      <c r="L14" s="35"/>
      <c r="M14" s="36"/>
      <c r="N14" s="52"/>
      <c r="O14" s="48">
        <f>D14</f>
        <v>3</v>
      </c>
      <c r="P14" s="49">
        <f>(N13-S14)/N13</f>
        <v>0.05</v>
      </c>
      <c r="Q14" s="53">
        <f>F14-(F14*5%)</f>
        <v>436050</v>
      </c>
      <c r="R14" s="50">
        <f>(S14-Q14)/(O14-1)</f>
        <v>436050</v>
      </c>
      <c r="S14" s="50">
        <f t="shared" si="5"/>
        <v>1308150</v>
      </c>
      <c r="T14" s="58">
        <f>S14/U13</f>
        <v>11475</v>
      </c>
      <c r="U14" s="54">
        <f>U13/O14</f>
        <v>38</v>
      </c>
      <c r="V14" s="40"/>
      <c r="W14" s="51"/>
      <c r="X14" s="36"/>
      <c r="Y14" s="52"/>
      <c r="Z14" s="48">
        <f>+D14</f>
        <v>3</v>
      </c>
      <c r="AA14" s="49">
        <f>(Y13-AD14)/Y13</f>
        <v>0.1</v>
      </c>
      <c r="AB14" s="53">
        <f>F14-(F14*10%)</f>
        <v>413100</v>
      </c>
      <c r="AC14" s="50">
        <f>(AD14-AB14)/(Z14-1)</f>
        <v>413100</v>
      </c>
      <c r="AD14" s="50">
        <f t="shared" si="6"/>
        <v>1239300</v>
      </c>
      <c r="AE14" s="58">
        <f>AD14/AF13</f>
        <v>10871.05263</v>
      </c>
      <c r="AF14" s="54">
        <f>AF13/Z14</f>
        <v>38</v>
      </c>
      <c r="AG14" s="40"/>
      <c r="AH14" s="51"/>
      <c r="AI14" s="36"/>
      <c r="AJ14" s="52"/>
      <c r="AK14" s="48">
        <f>+D14</f>
        <v>3</v>
      </c>
      <c r="AL14" s="49">
        <f>(AJ13-AO14)/AJ13</f>
        <v>0.15</v>
      </c>
      <c r="AM14" s="53">
        <f>F14-(F14*15%)</f>
        <v>390150</v>
      </c>
      <c r="AN14" s="50">
        <f>(AO14-AM14)/(AK14-1)</f>
        <v>390150</v>
      </c>
      <c r="AO14" s="50">
        <f t="shared" si="7"/>
        <v>1170450</v>
      </c>
      <c r="AP14" s="58">
        <f>AO14/AQ13</f>
        <v>10267.10526</v>
      </c>
      <c r="AQ14" s="54">
        <f>AQ13/AK14</f>
        <v>38</v>
      </c>
      <c r="AR14" s="40"/>
      <c r="AS14" s="59"/>
      <c r="AT14" s="36"/>
      <c r="AU14" s="52"/>
      <c r="AV14" s="48">
        <f>+D14</f>
        <v>3</v>
      </c>
      <c r="AW14" s="49">
        <f>(AU13-AZ14)/AU13</f>
        <v>0.2</v>
      </c>
      <c r="AX14" s="53">
        <f>F14-(F14*20%)</f>
        <v>367200</v>
      </c>
      <c r="AY14" s="50">
        <f>(AZ14-AX14)/(AV14-1)</f>
        <v>367200</v>
      </c>
      <c r="AZ14" s="50">
        <f t="shared" si="8"/>
        <v>1101600</v>
      </c>
      <c r="BA14" s="50">
        <f>AZ14/BB13</f>
        <v>9663.157895</v>
      </c>
      <c r="BB14" s="54">
        <f>BB13/AV14</f>
        <v>38</v>
      </c>
      <c r="BC14" s="40"/>
      <c r="BD14" s="51"/>
    </row>
    <row r="15" ht="13.5" customHeight="1">
      <c r="A15" s="35"/>
      <c r="B15" s="36"/>
      <c r="C15" s="35"/>
      <c r="D15" s="35"/>
      <c r="E15" s="35"/>
      <c r="F15" s="35"/>
      <c r="G15" s="35"/>
      <c r="H15" s="35"/>
      <c r="I15" s="51"/>
      <c r="J15" s="35"/>
      <c r="K15" s="40"/>
      <c r="L15" s="35"/>
      <c r="M15" s="36"/>
      <c r="N15" s="35"/>
      <c r="O15" s="35"/>
      <c r="P15" s="35"/>
      <c r="Q15" s="35"/>
      <c r="R15" s="35"/>
      <c r="S15" s="35"/>
      <c r="T15" s="35"/>
      <c r="U15" s="35"/>
      <c r="V15" s="40"/>
      <c r="W15" s="59"/>
      <c r="X15" s="36"/>
      <c r="Y15" s="35"/>
      <c r="Z15" s="35"/>
      <c r="AA15" s="35"/>
      <c r="AB15" s="35"/>
      <c r="AC15" s="35"/>
      <c r="AD15" s="35"/>
      <c r="AE15" s="35"/>
      <c r="AF15" s="35"/>
      <c r="AG15" s="40"/>
      <c r="AH15" s="59"/>
      <c r="AI15" s="36"/>
      <c r="AJ15" s="35"/>
      <c r="AK15" s="35"/>
      <c r="AL15" s="35"/>
      <c r="AM15" s="35"/>
      <c r="AN15" s="35"/>
      <c r="AO15" s="35"/>
      <c r="AP15" s="35"/>
      <c r="AQ15" s="35"/>
      <c r="AR15" s="40"/>
      <c r="AS15" s="35"/>
      <c r="AT15" s="36"/>
      <c r="AU15" s="35"/>
      <c r="AV15" s="35"/>
      <c r="AW15" s="35"/>
      <c r="AX15" s="35"/>
      <c r="AY15" s="35"/>
      <c r="AZ15" s="35"/>
      <c r="BA15" s="35"/>
      <c r="BB15" s="35"/>
      <c r="BC15" s="40"/>
      <c r="BD15" s="59"/>
    </row>
    <row r="16" ht="33.0" customHeight="1">
      <c r="A16" s="35"/>
      <c r="B16" s="36"/>
      <c r="C16" s="56" t="s">
        <v>35</v>
      </c>
      <c r="D16" s="32"/>
      <c r="E16" s="32"/>
      <c r="F16" s="32"/>
      <c r="G16" s="32"/>
      <c r="H16" s="32"/>
      <c r="I16" s="32"/>
      <c r="J16" s="33"/>
      <c r="K16" s="40"/>
      <c r="L16" s="35"/>
      <c r="M16" s="36"/>
      <c r="N16" s="56" t="str">
        <f>C16</f>
        <v>Plan 1 nivel
(159  Horas reloj - Niveles B1, B2 o C1)</v>
      </c>
      <c r="O16" s="32"/>
      <c r="P16" s="32"/>
      <c r="Q16" s="32"/>
      <c r="R16" s="32"/>
      <c r="S16" s="32"/>
      <c r="T16" s="32"/>
      <c r="U16" s="33"/>
      <c r="V16" s="40"/>
      <c r="W16" s="35"/>
      <c r="X16" s="36"/>
      <c r="Y16" s="56" t="str">
        <f>C16</f>
        <v>Plan 1 nivel
(159  Horas reloj - Niveles B1, B2 o C1)</v>
      </c>
      <c r="Z16" s="32"/>
      <c r="AA16" s="32"/>
      <c r="AB16" s="32"/>
      <c r="AC16" s="32"/>
      <c r="AD16" s="32"/>
      <c r="AE16" s="32"/>
      <c r="AF16" s="32"/>
      <c r="AG16" s="40"/>
      <c r="AH16" s="35"/>
      <c r="AI16" s="36"/>
      <c r="AJ16" s="56" t="str">
        <f>C16</f>
        <v>Plan 1 nivel
(159  Horas reloj - Niveles B1, B2 o C1)</v>
      </c>
      <c r="AK16" s="32"/>
      <c r="AL16" s="32"/>
      <c r="AM16" s="32"/>
      <c r="AN16" s="32"/>
      <c r="AO16" s="32"/>
      <c r="AP16" s="32"/>
      <c r="AQ16" s="33"/>
      <c r="AR16" s="40"/>
      <c r="AS16" s="43"/>
      <c r="AT16" s="36"/>
      <c r="AU16" s="56" t="str">
        <f>C16</f>
        <v>Plan 1 nivel
(159  Horas reloj - Niveles B1, B2 o C1)</v>
      </c>
      <c r="AV16" s="32"/>
      <c r="AW16" s="32"/>
      <c r="AX16" s="32"/>
      <c r="AY16" s="32"/>
      <c r="AZ16" s="32"/>
      <c r="BA16" s="32"/>
      <c r="BB16" s="33"/>
      <c r="BC16" s="40"/>
      <c r="BD16" s="35"/>
    </row>
    <row r="17" ht="13.5" customHeight="1">
      <c r="A17" s="35"/>
      <c r="B17" s="36"/>
      <c r="C17" s="41" t="s">
        <v>26</v>
      </c>
      <c r="D17" s="41" t="s">
        <v>27</v>
      </c>
      <c r="E17" s="41" t="s">
        <v>28</v>
      </c>
      <c r="F17" s="37" t="s">
        <v>29</v>
      </c>
      <c r="G17" s="37" t="s">
        <v>30</v>
      </c>
      <c r="H17" s="41" t="s">
        <v>31</v>
      </c>
      <c r="I17" s="57" t="s">
        <v>32</v>
      </c>
      <c r="J17" s="39" t="s">
        <v>33</v>
      </c>
      <c r="K17" s="40"/>
      <c r="L17" s="35"/>
      <c r="M17" s="36"/>
      <c r="N17" s="41" t="s">
        <v>26</v>
      </c>
      <c r="O17" s="41" t="s">
        <v>27</v>
      </c>
      <c r="P17" s="41" t="s">
        <v>28</v>
      </c>
      <c r="Q17" s="37" t="s">
        <v>29</v>
      </c>
      <c r="R17" s="37" t="s">
        <v>30</v>
      </c>
      <c r="S17" s="41" t="s">
        <v>31</v>
      </c>
      <c r="T17" s="57" t="s">
        <v>32</v>
      </c>
      <c r="U17" s="39" t="s">
        <v>33</v>
      </c>
      <c r="V17" s="40"/>
      <c r="W17" s="43"/>
      <c r="X17" s="36"/>
      <c r="Y17" s="41" t="s">
        <v>26</v>
      </c>
      <c r="Z17" s="41" t="s">
        <v>27</v>
      </c>
      <c r="AA17" s="41" t="s">
        <v>28</v>
      </c>
      <c r="AB17" s="37" t="s">
        <v>29</v>
      </c>
      <c r="AC17" s="37" t="s">
        <v>30</v>
      </c>
      <c r="AD17" s="41" t="s">
        <v>31</v>
      </c>
      <c r="AE17" s="57" t="s">
        <v>32</v>
      </c>
      <c r="AF17" s="39" t="s">
        <v>33</v>
      </c>
      <c r="AG17" s="40"/>
      <c r="AH17" s="43"/>
      <c r="AI17" s="36"/>
      <c r="AJ17" s="41" t="s">
        <v>26</v>
      </c>
      <c r="AK17" s="41" t="s">
        <v>27</v>
      </c>
      <c r="AL17" s="41" t="s">
        <v>28</v>
      </c>
      <c r="AM17" s="37" t="s">
        <v>29</v>
      </c>
      <c r="AN17" s="37" t="s">
        <v>30</v>
      </c>
      <c r="AO17" s="41" t="s">
        <v>31</v>
      </c>
      <c r="AP17" s="57" t="s">
        <v>32</v>
      </c>
      <c r="AQ17" s="39" t="s">
        <v>33</v>
      </c>
      <c r="AR17" s="40"/>
      <c r="AS17" s="46"/>
      <c r="AT17" s="36"/>
      <c r="AU17" s="37" t="s">
        <v>26</v>
      </c>
      <c r="AV17" s="37" t="s">
        <v>27</v>
      </c>
      <c r="AW17" s="37" t="s">
        <v>28</v>
      </c>
      <c r="AX17" s="37" t="s">
        <v>29</v>
      </c>
      <c r="AY17" s="37" t="s">
        <v>30</v>
      </c>
      <c r="AZ17" s="37" t="s">
        <v>31</v>
      </c>
      <c r="BA17" s="38" t="s">
        <v>32</v>
      </c>
      <c r="BB17" s="39" t="s">
        <v>33</v>
      </c>
      <c r="BC17" s="40"/>
      <c r="BD17" s="43"/>
    </row>
    <row r="18" ht="13.5" customHeight="1">
      <c r="A18" s="35"/>
      <c r="B18" s="36"/>
      <c r="C18" s="47">
        <f>'IPC 2025'!E5</f>
        <v>1920000</v>
      </c>
      <c r="D18" s="48">
        <v>1.0</v>
      </c>
      <c r="E18" s="49">
        <v>0.1</v>
      </c>
      <c r="F18" s="50">
        <f>H18</f>
        <v>1728000</v>
      </c>
      <c r="G18" s="50">
        <v>0.0</v>
      </c>
      <c r="H18" s="50">
        <f>C18-(C18*E18)</f>
        <v>1728000</v>
      </c>
      <c r="I18" s="58">
        <f>H18/J18</f>
        <v>10867.92453</v>
      </c>
      <c r="J18" s="48">
        <v>159.0</v>
      </c>
      <c r="K18" s="40"/>
      <c r="L18" s="35"/>
      <c r="M18" s="36"/>
      <c r="N18" s="47">
        <f>C18</f>
        <v>1920000</v>
      </c>
      <c r="O18" s="48">
        <v>1.0</v>
      </c>
      <c r="P18" s="49">
        <f>(N18-S18)/N18</f>
        <v>0.145</v>
      </c>
      <c r="Q18" s="50">
        <f>S18</f>
        <v>1641600</v>
      </c>
      <c r="R18" s="50">
        <v>0.0</v>
      </c>
      <c r="S18" s="50">
        <f t="shared" ref="S18:S19" si="9">H18*0.95</f>
        <v>1641600</v>
      </c>
      <c r="T18" s="58">
        <f>S18/U18</f>
        <v>10324.5283</v>
      </c>
      <c r="U18" s="48">
        <v>159.0</v>
      </c>
      <c r="V18" s="40"/>
      <c r="W18" s="46"/>
      <c r="X18" s="36"/>
      <c r="Y18" s="47">
        <f>+C18</f>
        <v>1920000</v>
      </c>
      <c r="Z18" s="48">
        <v>1.0</v>
      </c>
      <c r="AA18" s="49">
        <f>(Y18-AD18)/Y18</f>
        <v>0.19</v>
      </c>
      <c r="AB18" s="50">
        <f>AD18</f>
        <v>1555200</v>
      </c>
      <c r="AC18" s="50">
        <v>0.0</v>
      </c>
      <c r="AD18" s="50">
        <f t="shared" ref="AD18:AD19" si="10">H18*0.9</f>
        <v>1555200</v>
      </c>
      <c r="AE18" s="58">
        <f>AD18/AF18</f>
        <v>9781.132075</v>
      </c>
      <c r="AF18" s="48">
        <v>159.0</v>
      </c>
      <c r="AG18" s="40"/>
      <c r="AH18" s="46"/>
      <c r="AI18" s="36"/>
      <c r="AJ18" s="47">
        <f>+C18</f>
        <v>1920000</v>
      </c>
      <c r="AK18" s="48">
        <v>1.0</v>
      </c>
      <c r="AL18" s="49">
        <f>(AJ18-AO18)/AJ18</f>
        <v>0.235</v>
      </c>
      <c r="AM18" s="50">
        <f>AO18</f>
        <v>1468800</v>
      </c>
      <c r="AN18" s="50">
        <v>0.0</v>
      </c>
      <c r="AO18" s="50">
        <f t="shared" ref="AO18:AO19" si="11">H18*0.85</f>
        <v>1468800</v>
      </c>
      <c r="AP18" s="58">
        <f>AO18/AQ18</f>
        <v>9237.735849</v>
      </c>
      <c r="AQ18" s="48">
        <v>159.0</v>
      </c>
      <c r="AR18" s="40"/>
      <c r="AS18" s="51"/>
      <c r="AT18" s="36"/>
      <c r="AU18" s="47">
        <f>+C18</f>
        <v>1920000</v>
      </c>
      <c r="AV18" s="48">
        <v>1.0</v>
      </c>
      <c r="AW18" s="49">
        <f>(AU18-AZ18)/AU18</f>
        <v>0.28</v>
      </c>
      <c r="AX18" s="50">
        <f>AZ18</f>
        <v>1382400</v>
      </c>
      <c r="AY18" s="50">
        <v>0.0</v>
      </c>
      <c r="AZ18" s="50">
        <f t="shared" ref="AZ18:AZ19" si="12">H18*0.8</f>
        <v>1382400</v>
      </c>
      <c r="BA18" s="50">
        <f>AZ18/BB18</f>
        <v>8694.339623</v>
      </c>
      <c r="BB18" s="48">
        <v>159.0</v>
      </c>
      <c r="BC18" s="40"/>
      <c r="BD18" s="46"/>
    </row>
    <row r="19" ht="13.5" customHeight="1">
      <c r="A19" s="35"/>
      <c r="B19" s="36"/>
      <c r="C19" s="52"/>
      <c r="D19" s="48">
        <v>4.0</v>
      </c>
      <c r="E19" s="49">
        <v>0.0</v>
      </c>
      <c r="F19" s="53">
        <f>H19/D19</f>
        <v>480000</v>
      </c>
      <c r="G19" s="50">
        <f>(H19-F19)/(D19-1)</f>
        <v>480000</v>
      </c>
      <c r="H19" s="50">
        <f>C18-(C18*E19)</f>
        <v>1920000</v>
      </c>
      <c r="I19" s="58">
        <f>H19/J18</f>
        <v>12075.4717</v>
      </c>
      <c r="J19" s="54">
        <f>J18/D19</f>
        <v>39.75</v>
      </c>
      <c r="K19" s="40"/>
      <c r="L19" s="35"/>
      <c r="M19" s="36"/>
      <c r="N19" s="52"/>
      <c r="O19" s="48">
        <f>D19</f>
        <v>4</v>
      </c>
      <c r="P19" s="49">
        <f>(N18-S19)/N18</f>
        <v>0.05</v>
      </c>
      <c r="Q19" s="53">
        <f>F19-(F19*5%)</f>
        <v>456000</v>
      </c>
      <c r="R19" s="50">
        <f>(S19-Q19)/(O19-1)</f>
        <v>456000</v>
      </c>
      <c r="S19" s="50">
        <f t="shared" si="9"/>
        <v>1824000</v>
      </c>
      <c r="T19" s="58">
        <f>S19/U18</f>
        <v>11471.69811</v>
      </c>
      <c r="U19" s="54">
        <f>U18/O19</f>
        <v>39.75</v>
      </c>
      <c r="V19" s="40"/>
      <c r="W19" s="51"/>
      <c r="X19" s="36"/>
      <c r="Y19" s="52"/>
      <c r="Z19" s="48">
        <f>+D19</f>
        <v>4</v>
      </c>
      <c r="AA19" s="49">
        <f>(Y18-AD19)/Y18</f>
        <v>0.1</v>
      </c>
      <c r="AB19" s="53">
        <f>F19-(F19*10%)</f>
        <v>432000</v>
      </c>
      <c r="AC19" s="50">
        <f>(AD19-AB19)/(Z19-1)</f>
        <v>432000</v>
      </c>
      <c r="AD19" s="50">
        <f t="shared" si="10"/>
        <v>1728000</v>
      </c>
      <c r="AE19" s="58">
        <f>AD19/AF18</f>
        <v>10867.92453</v>
      </c>
      <c r="AF19" s="54">
        <f>AF18/Z19</f>
        <v>39.75</v>
      </c>
      <c r="AG19" s="40"/>
      <c r="AH19" s="51"/>
      <c r="AI19" s="36"/>
      <c r="AJ19" s="52"/>
      <c r="AK19" s="48">
        <f>+D19</f>
        <v>4</v>
      </c>
      <c r="AL19" s="49">
        <f>(AJ18-AO19)/AJ18</f>
        <v>0.15</v>
      </c>
      <c r="AM19" s="53">
        <f>F19-(F19*15%)</f>
        <v>408000</v>
      </c>
      <c r="AN19" s="50">
        <f>(AO19-AM19)/(AK19-1)</f>
        <v>408000</v>
      </c>
      <c r="AO19" s="50">
        <f t="shared" si="11"/>
        <v>1632000</v>
      </c>
      <c r="AP19" s="58">
        <f>AO19/AQ18</f>
        <v>10264.15094</v>
      </c>
      <c r="AQ19" s="54">
        <f>AQ18/AK19</f>
        <v>39.75</v>
      </c>
      <c r="AR19" s="40"/>
      <c r="AS19" s="59"/>
      <c r="AT19" s="36"/>
      <c r="AU19" s="52"/>
      <c r="AV19" s="48">
        <f>+D19</f>
        <v>4</v>
      </c>
      <c r="AW19" s="49">
        <f>(AU18-AZ19)/AU18</f>
        <v>0.2</v>
      </c>
      <c r="AX19" s="53">
        <f>F19-(F19*20%)</f>
        <v>384000</v>
      </c>
      <c r="AY19" s="50">
        <f>(AZ19-AX19)/(AV19-1)</f>
        <v>384000</v>
      </c>
      <c r="AZ19" s="50">
        <f t="shared" si="12"/>
        <v>1536000</v>
      </c>
      <c r="BA19" s="50">
        <f>AZ19/BB18</f>
        <v>9660.377358</v>
      </c>
      <c r="BB19" s="54">
        <f>BB18/AV19</f>
        <v>39.75</v>
      </c>
      <c r="BC19" s="40"/>
      <c r="BD19" s="51"/>
    </row>
    <row r="20" ht="13.5" customHeight="1">
      <c r="A20" s="35"/>
      <c r="B20" s="36"/>
      <c r="C20" s="35"/>
      <c r="D20" s="35"/>
      <c r="E20" s="35"/>
      <c r="F20" s="35"/>
      <c r="G20" s="35"/>
      <c r="H20" s="35"/>
      <c r="I20" s="51"/>
      <c r="J20" s="35"/>
      <c r="K20" s="40"/>
      <c r="L20" s="35"/>
      <c r="M20" s="36"/>
      <c r="N20" s="35"/>
      <c r="O20" s="35"/>
      <c r="P20" s="35"/>
      <c r="Q20" s="35"/>
      <c r="R20" s="35"/>
      <c r="S20" s="35"/>
      <c r="T20" s="35"/>
      <c r="U20" s="35"/>
      <c r="V20" s="40"/>
      <c r="W20" s="59"/>
      <c r="X20" s="36"/>
      <c r="Y20" s="35"/>
      <c r="Z20" s="35"/>
      <c r="AA20" s="35"/>
      <c r="AB20" s="35"/>
      <c r="AC20" s="35"/>
      <c r="AD20" s="35"/>
      <c r="AE20" s="35"/>
      <c r="AF20" s="35"/>
      <c r="AG20" s="40"/>
      <c r="AH20" s="59"/>
      <c r="AI20" s="36"/>
      <c r="AJ20" s="35"/>
      <c r="AK20" s="35"/>
      <c r="AL20" s="35"/>
      <c r="AM20" s="35"/>
      <c r="AN20" s="35"/>
      <c r="AO20" s="35"/>
      <c r="AP20" s="35"/>
      <c r="AQ20" s="35"/>
      <c r="AR20" s="40"/>
      <c r="AS20" s="35"/>
      <c r="AT20" s="36"/>
      <c r="AU20" s="35"/>
      <c r="AV20" s="35"/>
      <c r="AW20" s="35"/>
      <c r="AX20" s="35"/>
      <c r="AY20" s="35"/>
      <c r="AZ20" s="35"/>
      <c r="BA20" s="35"/>
      <c r="BB20" s="35"/>
      <c r="BC20" s="40"/>
      <c r="BD20" s="59"/>
    </row>
    <row r="21" ht="13.5" customHeight="1">
      <c r="A21" s="35"/>
      <c r="B21" s="36"/>
      <c r="C21" s="35"/>
      <c r="D21" s="35"/>
      <c r="E21" s="35"/>
      <c r="F21" s="35"/>
      <c r="G21" s="55"/>
      <c r="H21" s="55"/>
      <c r="I21" s="51"/>
      <c r="J21" s="35"/>
      <c r="K21" s="40"/>
      <c r="L21" s="35"/>
      <c r="M21" s="36"/>
      <c r="N21" s="35"/>
      <c r="O21" s="35"/>
      <c r="P21" s="35"/>
      <c r="Q21" s="35"/>
      <c r="R21" s="35"/>
      <c r="S21" s="35"/>
      <c r="T21" s="35"/>
      <c r="U21" s="35"/>
      <c r="V21" s="40"/>
      <c r="W21" s="59"/>
      <c r="X21" s="36"/>
      <c r="Y21" s="35"/>
      <c r="Z21" s="35"/>
      <c r="AA21" s="35"/>
      <c r="AB21" s="35"/>
      <c r="AC21" s="35"/>
      <c r="AD21" s="35"/>
      <c r="AE21" s="35"/>
      <c r="AF21" s="35"/>
      <c r="AG21" s="40"/>
      <c r="AH21" s="59"/>
      <c r="AI21" s="36"/>
      <c r="AJ21" s="35"/>
      <c r="AK21" s="35"/>
      <c r="AL21" s="35"/>
      <c r="AM21" s="35"/>
      <c r="AN21" s="35"/>
      <c r="AO21" s="35"/>
      <c r="AP21" s="35"/>
      <c r="AQ21" s="35"/>
      <c r="AR21" s="40"/>
      <c r="AS21" s="35"/>
      <c r="AT21" s="36"/>
      <c r="AU21" s="35"/>
      <c r="AV21" s="35"/>
      <c r="AW21" s="35"/>
      <c r="AX21" s="35"/>
      <c r="AY21" s="35"/>
      <c r="AZ21" s="35"/>
      <c r="BA21" s="35"/>
      <c r="BB21" s="35"/>
      <c r="BC21" s="40"/>
      <c r="BD21" s="59"/>
    </row>
    <row r="22" ht="34.5" customHeight="1">
      <c r="A22" s="35"/>
      <c r="B22" s="36"/>
      <c r="C22" s="56" t="s">
        <v>36</v>
      </c>
      <c r="D22" s="32"/>
      <c r="E22" s="32"/>
      <c r="F22" s="32"/>
      <c r="G22" s="32"/>
      <c r="H22" s="32"/>
      <c r="I22" s="32"/>
      <c r="J22" s="33"/>
      <c r="K22" s="40"/>
      <c r="L22" s="35"/>
      <c r="M22" s="36"/>
      <c r="N22" s="56" t="str">
        <f>C22</f>
        <v>Plan  2 Niveles 
(204 Horas Reloj - Niveles A1 y A2)</v>
      </c>
      <c r="O22" s="32"/>
      <c r="P22" s="32"/>
      <c r="Q22" s="32"/>
      <c r="R22" s="32"/>
      <c r="S22" s="32"/>
      <c r="T22" s="32"/>
      <c r="U22" s="33"/>
      <c r="V22" s="40"/>
      <c r="W22" s="35"/>
      <c r="X22" s="36"/>
      <c r="Y22" s="56" t="str">
        <f>C22</f>
        <v>Plan  2 Niveles 
(204 Horas Reloj - Niveles A1 y A2)</v>
      </c>
      <c r="Z22" s="32"/>
      <c r="AA22" s="32"/>
      <c r="AB22" s="32"/>
      <c r="AC22" s="32"/>
      <c r="AD22" s="32"/>
      <c r="AE22" s="32"/>
      <c r="AF22" s="32"/>
      <c r="AG22" s="40"/>
      <c r="AH22" s="35"/>
      <c r="AI22" s="36"/>
      <c r="AJ22" s="56" t="str">
        <f>C22</f>
        <v>Plan  2 Niveles 
(204 Horas Reloj - Niveles A1 y A2)</v>
      </c>
      <c r="AK22" s="32"/>
      <c r="AL22" s="32"/>
      <c r="AM22" s="32"/>
      <c r="AN22" s="32"/>
      <c r="AO22" s="32"/>
      <c r="AP22" s="32"/>
      <c r="AQ22" s="33"/>
      <c r="AR22" s="40"/>
      <c r="AS22" s="43"/>
      <c r="AT22" s="36"/>
      <c r="AU22" s="56" t="str">
        <f>C22</f>
        <v>Plan  2 Niveles 
(204 Horas Reloj - Niveles A1 y A2)</v>
      </c>
      <c r="AV22" s="32"/>
      <c r="AW22" s="32"/>
      <c r="AX22" s="32"/>
      <c r="AY22" s="32"/>
      <c r="AZ22" s="32"/>
      <c r="BA22" s="32"/>
      <c r="BB22" s="33"/>
      <c r="BC22" s="40"/>
      <c r="BD22" s="35"/>
    </row>
    <row r="23" ht="13.5" customHeight="1">
      <c r="A23" s="35"/>
      <c r="B23" s="36"/>
      <c r="C23" s="41" t="s">
        <v>26</v>
      </c>
      <c r="D23" s="41" t="s">
        <v>27</v>
      </c>
      <c r="E23" s="41" t="s">
        <v>28</v>
      </c>
      <c r="F23" s="37" t="s">
        <v>29</v>
      </c>
      <c r="G23" s="37" t="s">
        <v>30</v>
      </c>
      <c r="H23" s="41" t="s">
        <v>31</v>
      </c>
      <c r="I23" s="57" t="s">
        <v>32</v>
      </c>
      <c r="J23" s="39" t="s">
        <v>33</v>
      </c>
      <c r="K23" s="40"/>
      <c r="L23" s="35"/>
      <c r="M23" s="36"/>
      <c r="N23" s="41" t="s">
        <v>26</v>
      </c>
      <c r="O23" s="41" t="s">
        <v>27</v>
      </c>
      <c r="P23" s="41" t="s">
        <v>28</v>
      </c>
      <c r="Q23" s="37" t="s">
        <v>29</v>
      </c>
      <c r="R23" s="37" t="s">
        <v>30</v>
      </c>
      <c r="S23" s="41" t="s">
        <v>31</v>
      </c>
      <c r="T23" s="44" t="s">
        <v>32</v>
      </c>
      <c r="U23" s="39" t="s">
        <v>33</v>
      </c>
      <c r="V23" s="40"/>
      <c r="W23" s="43"/>
      <c r="X23" s="36"/>
      <c r="Y23" s="41" t="s">
        <v>26</v>
      </c>
      <c r="Z23" s="41" t="s">
        <v>27</v>
      </c>
      <c r="AA23" s="41" t="s">
        <v>28</v>
      </c>
      <c r="AB23" s="37" t="s">
        <v>29</v>
      </c>
      <c r="AC23" s="37" t="s">
        <v>30</v>
      </c>
      <c r="AD23" s="41" t="s">
        <v>31</v>
      </c>
      <c r="AE23" s="44" t="s">
        <v>32</v>
      </c>
      <c r="AF23" s="39" t="s">
        <v>33</v>
      </c>
      <c r="AG23" s="40"/>
      <c r="AH23" s="43"/>
      <c r="AI23" s="36"/>
      <c r="AJ23" s="41" t="s">
        <v>26</v>
      </c>
      <c r="AK23" s="41" t="s">
        <v>27</v>
      </c>
      <c r="AL23" s="41" t="s">
        <v>28</v>
      </c>
      <c r="AM23" s="37" t="s">
        <v>29</v>
      </c>
      <c r="AN23" s="37" t="s">
        <v>30</v>
      </c>
      <c r="AO23" s="41" t="s">
        <v>31</v>
      </c>
      <c r="AP23" s="57" t="s">
        <v>32</v>
      </c>
      <c r="AQ23" s="39" t="s">
        <v>33</v>
      </c>
      <c r="AR23" s="40"/>
      <c r="AS23" s="46"/>
      <c r="AT23" s="36"/>
      <c r="AU23" s="37" t="s">
        <v>26</v>
      </c>
      <c r="AV23" s="37" t="s">
        <v>27</v>
      </c>
      <c r="AW23" s="37" t="s">
        <v>28</v>
      </c>
      <c r="AX23" s="37" t="s">
        <v>29</v>
      </c>
      <c r="AY23" s="37" t="s">
        <v>30</v>
      </c>
      <c r="AZ23" s="37" t="s">
        <v>31</v>
      </c>
      <c r="BA23" s="38" t="s">
        <v>32</v>
      </c>
      <c r="BB23" s="39" t="s">
        <v>33</v>
      </c>
      <c r="BC23" s="40"/>
      <c r="BD23" s="43"/>
    </row>
    <row r="24" ht="13.5" customHeight="1">
      <c r="A24" s="35"/>
      <c r="B24" s="36"/>
      <c r="C24" s="47">
        <f>C8+C13</f>
        <v>2464000</v>
      </c>
      <c r="D24" s="48">
        <v>1.0</v>
      </c>
      <c r="E24" s="49">
        <v>0.15</v>
      </c>
      <c r="F24" s="50">
        <f>H24</f>
        <v>2094400</v>
      </c>
      <c r="G24" s="50">
        <v>0.0</v>
      </c>
      <c r="H24" s="50">
        <f>C24-(C24*E24)</f>
        <v>2094400</v>
      </c>
      <c r="I24" s="58">
        <f>H24/J24</f>
        <v>10266.66667</v>
      </c>
      <c r="J24" s="48">
        <v>204.0</v>
      </c>
      <c r="K24" s="40"/>
      <c r="L24" s="35"/>
      <c r="M24" s="36"/>
      <c r="N24" s="47">
        <f>C24</f>
        <v>2464000</v>
      </c>
      <c r="O24" s="48">
        <v>1.0</v>
      </c>
      <c r="P24" s="49">
        <f>(N24-S24)/N24</f>
        <v>0.1925</v>
      </c>
      <c r="Q24" s="50">
        <f>S24</f>
        <v>1989680</v>
      </c>
      <c r="R24" s="50">
        <v>0.0</v>
      </c>
      <c r="S24" s="50">
        <f t="shared" ref="S24:S26" si="13">H24*0.95</f>
        <v>1989680</v>
      </c>
      <c r="T24" s="50">
        <f>S24/U24</f>
        <v>9753.333333</v>
      </c>
      <c r="U24" s="48">
        <v>204.0</v>
      </c>
      <c r="V24" s="40"/>
      <c r="W24" s="46"/>
      <c r="X24" s="36"/>
      <c r="Y24" s="47">
        <f>C24</f>
        <v>2464000</v>
      </c>
      <c r="Z24" s="48">
        <v>1.0</v>
      </c>
      <c r="AA24" s="49">
        <f>(Y24-AD24)/Y24</f>
        <v>0.235</v>
      </c>
      <c r="AB24" s="50">
        <f>AD24</f>
        <v>1884960</v>
      </c>
      <c r="AC24" s="50">
        <v>0.0</v>
      </c>
      <c r="AD24" s="50">
        <f t="shared" ref="AD24:AD26" si="14">H24*0.9</f>
        <v>1884960</v>
      </c>
      <c r="AE24" s="50">
        <f>AD24/AF24</f>
        <v>9240</v>
      </c>
      <c r="AF24" s="48">
        <v>204.0</v>
      </c>
      <c r="AG24" s="40"/>
      <c r="AH24" s="46"/>
      <c r="AI24" s="36"/>
      <c r="AJ24" s="47">
        <f>C24</f>
        <v>2464000</v>
      </c>
      <c r="AK24" s="48">
        <v>1.0</v>
      </c>
      <c r="AL24" s="49">
        <f>(AJ24-AO24)/AJ24</f>
        <v>0.2775</v>
      </c>
      <c r="AM24" s="50">
        <f>AO24</f>
        <v>1780240</v>
      </c>
      <c r="AN24" s="50">
        <v>0.0</v>
      </c>
      <c r="AO24" s="50">
        <f t="shared" ref="AO24:AO26" si="15">H24*0.85</f>
        <v>1780240</v>
      </c>
      <c r="AP24" s="58">
        <f>AO24/AQ24</f>
        <v>8726.666667</v>
      </c>
      <c r="AQ24" s="48">
        <v>204.0</v>
      </c>
      <c r="AR24" s="40"/>
      <c r="AS24" s="51"/>
      <c r="AT24" s="36"/>
      <c r="AU24" s="47">
        <f>C24</f>
        <v>2464000</v>
      </c>
      <c r="AV24" s="48">
        <v>1.0</v>
      </c>
      <c r="AW24" s="49">
        <f>(AU24-AZ24)/AU24</f>
        <v>0.32</v>
      </c>
      <c r="AX24" s="50">
        <f>AZ24</f>
        <v>1675520</v>
      </c>
      <c r="AY24" s="50">
        <v>0.0</v>
      </c>
      <c r="AZ24" s="50">
        <f t="shared" ref="AZ24:AZ26" si="16">H24*0.8</f>
        <v>1675520</v>
      </c>
      <c r="BA24" s="50">
        <f>AZ24/BB24</f>
        <v>8213.333333</v>
      </c>
      <c r="BB24" s="48">
        <v>204.0</v>
      </c>
      <c r="BC24" s="40"/>
      <c r="BD24" s="46"/>
    </row>
    <row r="25" ht="13.5" customHeight="1">
      <c r="A25" s="35"/>
      <c r="B25" s="36"/>
      <c r="C25" s="60"/>
      <c r="D25" s="48">
        <v>2.0</v>
      </c>
      <c r="E25" s="49">
        <v>0.1</v>
      </c>
      <c r="F25" s="53">
        <f t="shared" ref="F25:F26" si="17">H25/D25</f>
        <v>1108800</v>
      </c>
      <c r="G25" s="50">
        <f t="shared" ref="G25:G26" si="18">(H25-F25)/(D25-1)</f>
        <v>1108800</v>
      </c>
      <c r="H25" s="50">
        <f>C24-(C24*E25)</f>
        <v>2217600</v>
      </c>
      <c r="I25" s="58">
        <f>H25/J24</f>
        <v>10870.58824</v>
      </c>
      <c r="J25" s="54">
        <f>J24/D25</f>
        <v>102</v>
      </c>
      <c r="K25" s="40"/>
      <c r="L25" s="35"/>
      <c r="M25" s="36"/>
      <c r="N25" s="60"/>
      <c r="O25" s="48">
        <f t="shared" ref="O25:O26" si="19">D25</f>
        <v>2</v>
      </c>
      <c r="P25" s="49">
        <f>(N24-S25)/N24</f>
        <v>0.145</v>
      </c>
      <c r="Q25" s="53">
        <f t="shared" ref="Q25:Q26" si="20">F25-(F25*5%)</f>
        <v>1053360</v>
      </c>
      <c r="R25" s="50">
        <f t="shared" ref="R25:R26" si="21">(S25-Q25)/(O25-1)</f>
        <v>1053360</v>
      </c>
      <c r="S25" s="50">
        <f t="shared" si="13"/>
        <v>2106720</v>
      </c>
      <c r="T25" s="58">
        <f>S25/U24</f>
        <v>10327.05882</v>
      </c>
      <c r="U25" s="54">
        <f>U24/O25</f>
        <v>102</v>
      </c>
      <c r="V25" s="40"/>
      <c r="W25" s="46"/>
      <c r="X25" s="36"/>
      <c r="Y25" s="60"/>
      <c r="Z25" s="48">
        <f>D25</f>
        <v>2</v>
      </c>
      <c r="AA25" s="49">
        <f>(Y24-AD25)/Y24</f>
        <v>0.19</v>
      </c>
      <c r="AB25" s="53">
        <f t="shared" ref="AB25:AB26" si="22">F25-(F25*10%)</f>
        <v>997920</v>
      </c>
      <c r="AC25" s="50">
        <f t="shared" ref="AC25:AC26" si="23">(AD25-AB25)/(Z25-1)</f>
        <v>997920</v>
      </c>
      <c r="AD25" s="50">
        <f t="shared" si="14"/>
        <v>1995840</v>
      </c>
      <c r="AE25" s="58">
        <f>AD25/AF24</f>
        <v>9783.529412</v>
      </c>
      <c r="AF25" s="54">
        <f>AF24/Z25</f>
        <v>102</v>
      </c>
      <c r="AG25" s="40"/>
      <c r="AH25" s="46"/>
      <c r="AI25" s="36"/>
      <c r="AJ25" s="60"/>
      <c r="AK25" s="48">
        <f>D25</f>
        <v>2</v>
      </c>
      <c r="AL25" s="49">
        <f>(AJ24-AO25)/AJ24</f>
        <v>0.235</v>
      </c>
      <c r="AM25" s="53">
        <f t="shared" ref="AM25:AM26" si="24">F25-(F25*15%)</f>
        <v>942480</v>
      </c>
      <c r="AN25" s="50">
        <f t="shared" ref="AN25:AN26" si="25">(AO25-AM25)/(AK25-1)</f>
        <v>942480</v>
      </c>
      <c r="AO25" s="50">
        <f t="shared" si="15"/>
        <v>1884960</v>
      </c>
      <c r="AP25" s="58">
        <f>AO25/AQ24</f>
        <v>9240</v>
      </c>
      <c r="AQ25" s="54">
        <f>AQ24/AK25</f>
        <v>102</v>
      </c>
      <c r="AR25" s="40"/>
      <c r="AS25" s="51"/>
      <c r="AT25" s="36"/>
      <c r="AU25" s="60"/>
      <c r="AV25" s="48">
        <f>D25</f>
        <v>2</v>
      </c>
      <c r="AW25" s="49">
        <f>(AU24-AZ25)/AU24</f>
        <v>0.28</v>
      </c>
      <c r="AX25" s="53">
        <f t="shared" ref="AX25:AX26" si="26">F25-(F25*20%)</f>
        <v>887040</v>
      </c>
      <c r="AY25" s="50">
        <f t="shared" ref="AY25:AY26" si="27">(AZ25-AX25)/(AV25-1)</f>
        <v>887040</v>
      </c>
      <c r="AZ25" s="50">
        <f t="shared" si="16"/>
        <v>1774080</v>
      </c>
      <c r="BA25" s="58">
        <f>AZ25/BB24</f>
        <v>8696.470588</v>
      </c>
      <c r="BB25" s="54">
        <f>BB24/AV25</f>
        <v>102</v>
      </c>
      <c r="BC25" s="40"/>
      <c r="BD25" s="46"/>
    </row>
    <row r="26" ht="13.5" customHeight="1">
      <c r="A26" s="35"/>
      <c r="B26" s="36"/>
      <c r="C26" s="52"/>
      <c r="D26" s="48">
        <v>6.0</v>
      </c>
      <c r="E26" s="49">
        <v>0.05</v>
      </c>
      <c r="F26" s="53">
        <f t="shared" si="17"/>
        <v>390133.3333</v>
      </c>
      <c r="G26" s="50">
        <f t="shared" si="18"/>
        <v>390133.3333</v>
      </c>
      <c r="H26" s="50">
        <f>C24-(C24*E26)</f>
        <v>2340800</v>
      </c>
      <c r="I26" s="58">
        <f>H26/J24</f>
        <v>11474.5098</v>
      </c>
      <c r="J26" s="54">
        <f>J24/D26</f>
        <v>34</v>
      </c>
      <c r="K26" s="40"/>
      <c r="L26" s="35"/>
      <c r="M26" s="36"/>
      <c r="N26" s="52"/>
      <c r="O26" s="48">
        <f t="shared" si="19"/>
        <v>6</v>
      </c>
      <c r="P26" s="49">
        <f>(N24-S26)/N24</f>
        <v>0.0975</v>
      </c>
      <c r="Q26" s="53">
        <f t="shared" si="20"/>
        <v>370626.6667</v>
      </c>
      <c r="R26" s="50">
        <f t="shared" si="21"/>
        <v>370626.6667</v>
      </c>
      <c r="S26" s="50">
        <f t="shared" si="13"/>
        <v>2223760</v>
      </c>
      <c r="T26" s="50">
        <f>S26/U24</f>
        <v>10900.78431</v>
      </c>
      <c r="U26" s="54">
        <f>U24/O26</f>
        <v>34</v>
      </c>
      <c r="V26" s="40"/>
      <c r="W26" s="51"/>
      <c r="X26" s="36"/>
      <c r="Y26" s="52"/>
      <c r="Z26" s="48">
        <f>+D26</f>
        <v>6</v>
      </c>
      <c r="AA26" s="49">
        <f>(Y24-AD26)/Y24</f>
        <v>0.145</v>
      </c>
      <c r="AB26" s="53">
        <f t="shared" si="22"/>
        <v>351120</v>
      </c>
      <c r="AC26" s="50">
        <f t="shared" si="23"/>
        <v>351120</v>
      </c>
      <c r="AD26" s="50">
        <f t="shared" si="14"/>
        <v>2106720</v>
      </c>
      <c r="AE26" s="50">
        <f>AD26/AF24</f>
        <v>10327.05882</v>
      </c>
      <c r="AF26" s="54">
        <f>AF24/Z26</f>
        <v>34</v>
      </c>
      <c r="AG26" s="40"/>
      <c r="AH26" s="51"/>
      <c r="AI26" s="36"/>
      <c r="AJ26" s="52"/>
      <c r="AK26" s="48">
        <f>+D26</f>
        <v>6</v>
      </c>
      <c r="AL26" s="49">
        <f>(AJ24-AO26)/AJ24</f>
        <v>0.1925</v>
      </c>
      <c r="AM26" s="53">
        <f t="shared" si="24"/>
        <v>331613.3333</v>
      </c>
      <c r="AN26" s="50">
        <f t="shared" si="25"/>
        <v>331613.3333</v>
      </c>
      <c r="AO26" s="50">
        <f t="shared" si="15"/>
        <v>1989680</v>
      </c>
      <c r="AP26" s="58">
        <f>AO26/AQ24</f>
        <v>9753.333333</v>
      </c>
      <c r="AQ26" s="54">
        <f>AQ24/AK26</f>
        <v>34</v>
      </c>
      <c r="AR26" s="40"/>
      <c r="AS26" s="59"/>
      <c r="AT26" s="36"/>
      <c r="AU26" s="52"/>
      <c r="AV26" s="48">
        <f>+D26</f>
        <v>6</v>
      </c>
      <c r="AW26" s="49">
        <f>(AU24-AZ26)/AU24</f>
        <v>0.24</v>
      </c>
      <c r="AX26" s="53">
        <f t="shared" si="26"/>
        <v>312106.6667</v>
      </c>
      <c r="AY26" s="50">
        <f t="shared" si="27"/>
        <v>312106.6667</v>
      </c>
      <c r="AZ26" s="50">
        <f t="shared" si="16"/>
        <v>1872640</v>
      </c>
      <c r="BA26" s="50">
        <f>AZ26/BB24</f>
        <v>9179.607843</v>
      </c>
      <c r="BB26" s="54">
        <f>BB24/AV26</f>
        <v>34</v>
      </c>
      <c r="BC26" s="40"/>
      <c r="BD26" s="51"/>
    </row>
    <row r="27" ht="13.5" customHeight="1">
      <c r="A27" s="35"/>
      <c r="B27" s="36"/>
      <c r="C27" s="35"/>
      <c r="D27" s="35"/>
      <c r="E27" s="35"/>
      <c r="F27" s="35"/>
      <c r="G27" s="55"/>
      <c r="H27" s="55"/>
      <c r="I27" s="51"/>
      <c r="J27" s="35"/>
      <c r="K27" s="40"/>
      <c r="L27" s="35"/>
      <c r="M27" s="36"/>
      <c r="N27" s="35"/>
      <c r="O27" s="35"/>
      <c r="P27" s="35"/>
      <c r="Q27" s="35"/>
      <c r="R27" s="35"/>
      <c r="S27" s="35"/>
      <c r="T27" s="35"/>
      <c r="U27" s="35"/>
      <c r="V27" s="40"/>
      <c r="W27" s="59"/>
      <c r="X27" s="36"/>
      <c r="Y27" s="35"/>
      <c r="Z27" s="35"/>
      <c r="AA27" s="35"/>
      <c r="AB27" s="35"/>
      <c r="AC27" s="35"/>
      <c r="AD27" s="35"/>
      <c r="AE27" s="35"/>
      <c r="AF27" s="35"/>
      <c r="AG27" s="40"/>
      <c r="AH27" s="59"/>
      <c r="AI27" s="36"/>
      <c r="AJ27" s="35"/>
      <c r="AK27" s="35"/>
      <c r="AL27" s="35"/>
      <c r="AM27" s="35"/>
      <c r="AN27" s="35"/>
      <c r="AO27" s="35"/>
      <c r="AP27" s="35"/>
      <c r="AQ27" s="35"/>
      <c r="AR27" s="40"/>
      <c r="AS27" s="35"/>
      <c r="AT27" s="36"/>
      <c r="AU27" s="35"/>
      <c r="AV27" s="35"/>
      <c r="AW27" s="35"/>
      <c r="AX27" s="35"/>
      <c r="AY27" s="35"/>
      <c r="AZ27" s="35"/>
      <c r="BA27" s="35"/>
      <c r="BB27" s="35"/>
      <c r="BC27" s="40"/>
      <c r="BD27" s="59"/>
    </row>
    <row r="28" ht="34.5" customHeight="1">
      <c r="A28" s="35"/>
      <c r="B28" s="36"/>
      <c r="C28" s="56" t="s">
        <v>37</v>
      </c>
      <c r="D28" s="32"/>
      <c r="E28" s="32"/>
      <c r="F28" s="32"/>
      <c r="G28" s="32"/>
      <c r="H28" s="32"/>
      <c r="I28" s="32"/>
      <c r="J28" s="33"/>
      <c r="K28" s="40"/>
      <c r="L28" s="35"/>
      <c r="M28" s="36"/>
      <c r="N28" s="56" t="str">
        <f>C28</f>
        <v>Plan 2 Niveles
(273 Horas Reloj - Niveles A2 y B1)</v>
      </c>
      <c r="O28" s="32"/>
      <c r="P28" s="32"/>
      <c r="Q28" s="32"/>
      <c r="R28" s="32"/>
      <c r="S28" s="32"/>
      <c r="T28" s="32"/>
      <c r="U28" s="33"/>
      <c r="V28" s="40"/>
      <c r="W28" s="35"/>
      <c r="X28" s="36"/>
      <c r="Y28" s="56" t="str">
        <f>C28</f>
        <v>Plan 2 Niveles
(273 Horas Reloj - Niveles A2 y B1)</v>
      </c>
      <c r="Z28" s="32"/>
      <c r="AA28" s="32"/>
      <c r="AB28" s="32"/>
      <c r="AC28" s="32"/>
      <c r="AD28" s="32"/>
      <c r="AE28" s="32"/>
      <c r="AF28" s="32"/>
      <c r="AG28" s="40"/>
      <c r="AH28" s="35"/>
      <c r="AI28" s="36"/>
      <c r="AJ28" s="56" t="str">
        <f>C28</f>
        <v>Plan 2 Niveles
(273 Horas Reloj - Niveles A2 y B1)</v>
      </c>
      <c r="AK28" s="32"/>
      <c r="AL28" s="32"/>
      <c r="AM28" s="32"/>
      <c r="AN28" s="32"/>
      <c r="AO28" s="32"/>
      <c r="AP28" s="32"/>
      <c r="AQ28" s="33"/>
      <c r="AR28" s="40"/>
      <c r="AS28" s="43"/>
      <c r="AT28" s="36"/>
      <c r="AU28" s="56" t="str">
        <f>C28</f>
        <v>Plan 2 Niveles
(273 Horas Reloj - Niveles A2 y B1)</v>
      </c>
      <c r="AV28" s="32"/>
      <c r="AW28" s="32"/>
      <c r="AX28" s="32"/>
      <c r="AY28" s="32"/>
      <c r="AZ28" s="32"/>
      <c r="BA28" s="32"/>
      <c r="BB28" s="33"/>
      <c r="BC28" s="40"/>
      <c r="BD28" s="35"/>
    </row>
    <row r="29" ht="13.5" customHeight="1">
      <c r="A29" s="35"/>
      <c r="B29" s="36"/>
      <c r="C29" s="41" t="s">
        <v>26</v>
      </c>
      <c r="D29" s="41" t="s">
        <v>27</v>
      </c>
      <c r="E29" s="41" t="s">
        <v>28</v>
      </c>
      <c r="F29" s="37" t="s">
        <v>29</v>
      </c>
      <c r="G29" s="37" t="s">
        <v>30</v>
      </c>
      <c r="H29" s="41" t="s">
        <v>31</v>
      </c>
      <c r="I29" s="57" t="s">
        <v>32</v>
      </c>
      <c r="J29" s="39" t="s">
        <v>33</v>
      </c>
      <c r="K29" s="40"/>
      <c r="L29" s="35"/>
      <c r="M29" s="36"/>
      <c r="N29" s="41" t="s">
        <v>26</v>
      </c>
      <c r="O29" s="41" t="s">
        <v>27</v>
      </c>
      <c r="P29" s="41" t="s">
        <v>28</v>
      </c>
      <c r="Q29" s="37" t="s">
        <v>29</v>
      </c>
      <c r="R29" s="37" t="s">
        <v>30</v>
      </c>
      <c r="S29" s="41" t="s">
        <v>31</v>
      </c>
      <c r="T29" s="44" t="s">
        <v>32</v>
      </c>
      <c r="U29" s="39" t="s">
        <v>33</v>
      </c>
      <c r="V29" s="40"/>
      <c r="W29" s="43"/>
      <c r="X29" s="36"/>
      <c r="Y29" s="41" t="s">
        <v>26</v>
      </c>
      <c r="Z29" s="41" t="s">
        <v>27</v>
      </c>
      <c r="AA29" s="41" t="s">
        <v>28</v>
      </c>
      <c r="AB29" s="37" t="s">
        <v>29</v>
      </c>
      <c r="AC29" s="37" t="s">
        <v>30</v>
      </c>
      <c r="AD29" s="41" t="s">
        <v>31</v>
      </c>
      <c r="AE29" s="44" t="s">
        <v>32</v>
      </c>
      <c r="AF29" s="39" t="s">
        <v>33</v>
      </c>
      <c r="AG29" s="40"/>
      <c r="AH29" s="43"/>
      <c r="AI29" s="36"/>
      <c r="AJ29" s="41" t="s">
        <v>26</v>
      </c>
      <c r="AK29" s="41" t="s">
        <v>27</v>
      </c>
      <c r="AL29" s="41" t="s">
        <v>28</v>
      </c>
      <c r="AM29" s="37" t="s">
        <v>29</v>
      </c>
      <c r="AN29" s="37" t="s">
        <v>30</v>
      </c>
      <c r="AO29" s="41" t="s">
        <v>31</v>
      </c>
      <c r="AP29" s="57" t="s">
        <v>32</v>
      </c>
      <c r="AQ29" s="39" t="s">
        <v>33</v>
      </c>
      <c r="AR29" s="40"/>
      <c r="AS29" s="46"/>
      <c r="AT29" s="36"/>
      <c r="AU29" s="37" t="s">
        <v>26</v>
      </c>
      <c r="AV29" s="37" t="s">
        <v>27</v>
      </c>
      <c r="AW29" s="37" t="s">
        <v>28</v>
      </c>
      <c r="AX29" s="37" t="s">
        <v>29</v>
      </c>
      <c r="AY29" s="37" t="s">
        <v>30</v>
      </c>
      <c r="AZ29" s="37" t="s">
        <v>31</v>
      </c>
      <c r="BA29" s="38" t="s">
        <v>32</v>
      </c>
      <c r="BB29" s="39" t="s">
        <v>33</v>
      </c>
      <c r="BC29" s="40"/>
      <c r="BD29" s="43"/>
    </row>
    <row r="30" ht="13.5" customHeight="1">
      <c r="A30" s="35"/>
      <c r="B30" s="36"/>
      <c r="C30" s="47">
        <f>C13+C18</f>
        <v>3297000</v>
      </c>
      <c r="D30" s="48">
        <v>1.0</v>
      </c>
      <c r="E30" s="49">
        <v>0.15</v>
      </c>
      <c r="F30" s="50">
        <f>H30</f>
        <v>2802450</v>
      </c>
      <c r="G30" s="50">
        <v>0.0</v>
      </c>
      <c r="H30" s="50">
        <f>C30-(C30*E30)</f>
        <v>2802450</v>
      </c>
      <c r="I30" s="58">
        <f>H30/J30</f>
        <v>10265.38462</v>
      </c>
      <c r="J30" s="48">
        <v>273.0</v>
      </c>
      <c r="K30" s="40"/>
      <c r="L30" s="35"/>
      <c r="M30" s="36"/>
      <c r="N30" s="47">
        <f>N13+N18</f>
        <v>3297000</v>
      </c>
      <c r="O30" s="48">
        <v>1.0</v>
      </c>
      <c r="P30" s="49">
        <f>(N30-S30)/N30</f>
        <v>0.1925</v>
      </c>
      <c r="Q30" s="50">
        <f>S30</f>
        <v>2662327.5</v>
      </c>
      <c r="R30" s="50">
        <v>0.0</v>
      </c>
      <c r="S30" s="50">
        <f t="shared" ref="S30:S32" si="28">H30*0.95</f>
        <v>2662327.5</v>
      </c>
      <c r="T30" s="50">
        <f>S30/U30</f>
        <v>9752.115385</v>
      </c>
      <c r="U30" s="48">
        <v>273.0</v>
      </c>
      <c r="V30" s="40"/>
      <c r="W30" s="46"/>
      <c r="X30" s="36"/>
      <c r="Y30" s="47">
        <f>Y13+Y18</f>
        <v>3297000</v>
      </c>
      <c r="Z30" s="48">
        <v>1.0</v>
      </c>
      <c r="AA30" s="49">
        <f>(Y30-AD30)/Y30</f>
        <v>0.235</v>
      </c>
      <c r="AB30" s="50">
        <f>AD30</f>
        <v>2522205</v>
      </c>
      <c r="AC30" s="50">
        <v>0.0</v>
      </c>
      <c r="AD30" s="50">
        <f t="shared" ref="AD30:AD32" si="29">H30*0.9</f>
        <v>2522205</v>
      </c>
      <c r="AE30" s="50">
        <f>AD30/AF30</f>
        <v>9238.846154</v>
      </c>
      <c r="AF30" s="48">
        <v>273.0</v>
      </c>
      <c r="AG30" s="40"/>
      <c r="AH30" s="46"/>
      <c r="AI30" s="36"/>
      <c r="AJ30" s="47">
        <f>SUM(AJ13+AJ18)</f>
        <v>3297000</v>
      </c>
      <c r="AK30" s="48">
        <v>1.0</v>
      </c>
      <c r="AL30" s="49">
        <f>(AJ30-AO30)/AJ30</f>
        <v>0.2775</v>
      </c>
      <c r="AM30" s="50">
        <f>AO30</f>
        <v>2382082.5</v>
      </c>
      <c r="AN30" s="50">
        <v>0.0</v>
      </c>
      <c r="AO30" s="50">
        <f t="shared" ref="AO30:AO32" si="30">H30*0.85</f>
        <v>2382082.5</v>
      </c>
      <c r="AP30" s="58">
        <f>AO30/AQ30</f>
        <v>8725.576923</v>
      </c>
      <c r="AQ30" s="48">
        <v>273.0</v>
      </c>
      <c r="AR30" s="40"/>
      <c r="AS30" s="51"/>
      <c r="AT30" s="36"/>
      <c r="AU30" s="47">
        <f>SUM(AU13+AU18)</f>
        <v>3297000</v>
      </c>
      <c r="AV30" s="48">
        <v>1.0</v>
      </c>
      <c r="AW30" s="49">
        <f>(AU30-AZ30)/AU30</f>
        <v>0.32</v>
      </c>
      <c r="AX30" s="50">
        <f>AZ30</f>
        <v>2241960</v>
      </c>
      <c r="AY30" s="50">
        <v>0.0</v>
      </c>
      <c r="AZ30" s="50">
        <f t="shared" ref="AZ30:AZ32" si="31">H30*0.8</f>
        <v>2241960</v>
      </c>
      <c r="BA30" s="50">
        <f>AZ30/BB30</f>
        <v>8212.307692</v>
      </c>
      <c r="BB30" s="48">
        <v>273.0</v>
      </c>
      <c r="BC30" s="40"/>
      <c r="BD30" s="46"/>
    </row>
    <row r="31" ht="13.5" customHeight="1">
      <c r="A31" s="35"/>
      <c r="B31" s="36"/>
      <c r="C31" s="60"/>
      <c r="D31" s="48">
        <v>2.0</v>
      </c>
      <c r="E31" s="49">
        <v>0.1</v>
      </c>
      <c r="F31" s="53">
        <f t="shared" ref="F31:F32" si="32">H31/D31</f>
        <v>1483650</v>
      </c>
      <c r="G31" s="50">
        <f t="shared" ref="G31:G32" si="33">(H31-F31)/(D31-1)</f>
        <v>1483650</v>
      </c>
      <c r="H31" s="50">
        <f>C30-(C30*E31)</f>
        <v>2967300</v>
      </c>
      <c r="I31" s="58">
        <f>H31/J30</f>
        <v>10869.23077</v>
      </c>
      <c r="J31" s="54">
        <f>J30/D31</f>
        <v>136.5</v>
      </c>
      <c r="K31" s="40"/>
      <c r="L31" s="35"/>
      <c r="M31" s="36"/>
      <c r="N31" s="60"/>
      <c r="O31" s="48">
        <f t="shared" ref="O31:O32" si="34">D31</f>
        <v>2</v>
      </c>
      <c r="P31" s="49">
        <f>(N30-S31)/N30</f>
        <v>0.145</v>
      </c>
      <c r="Q31" s="53">
        <f t="shared" ref="Q31:Q32" si="35">F31-(F31*5%)</f>
        <v>1409467.5</v>
      </c>
      <c r="R31" s="50">
        <f t="shared" ref="R31:R32" si="36">(S31-Q31)/(O31-1)</f>
        <v>1409467.5</v>
      </c>
      <c r="S31" s="50">
        <f t="shared" si="28"/>
        <v>2818935</v>
      </c>
      <c r="T31" s="58">
        <f>S31/U30</f>
        <v>10325.76923</v>
      </c>
      <c r="U31" s="54">
        <f>U30/O31</f>
        <v>136.5</v>
      </c>
      <c r="V31" s="40"/>
      <c r="W31" s="46"/>
      <c r="X31" s="36"/>
      <c r="Y31" s="60"/>
      <c r="Z31" s="48">
        <f>D31</f>
        <v>2</v>
      </c>
      <c r="AA31" s="49">
        <f>(Y30-AD31)/Y30</f>
        <v>0.19</v>
      </c>
      <c r="AB31" s="53">
        <f t="shared" ref="AB31:AB32" si="37">F31-(F31*10%)</f>
        <v>1335285</v>
      </c>
      <c r="AC31" s="50">
        <f t="shared" ref="AC31:AC32" si="38">(AD31-AB31)/(Z31-1)</f>
        <v>1335285</v>
      </c>
      <c r="AD31" s="50">
        <f t="shared" si="29"/>
        <v>2670570</v>
      </c>
      <c r="AE31" s="58">
        <f>AD31/AF30</f>
        <v>9782.307692</v>
      </c>
      <c r="AF31" s="54">
        <f>AF30/Z31</f>
        <v>136.5</v>
      </c>
      <c r="AG31" s="40"/>
      <c r="AH31" s="46"/>
      <c r="AI31" s="36"/>
      <c r="AJ31" s="60"/>
      <c r="AK31" s="48">
        <f>D31</f>
        <v>2</v>
      </c>
      <c r="AL31" s="49">
        <f>(AJ30-AO31)/AJ30</f>
        <v>0.235</v>
      </c>
      <c r="AM31" s="53">
        <f t="shared" ref="AM31:AM32" si="39">F31-(F31*15%)</f>
        <v>1261102.5</v>
      </c>
      <c r="AN31" s="50">
        <f t="shared" ref="AN31:AN32" si="40">(AO31-AM31)/(AK31-1)</f>
        <v>1261102.5</v>
      </c>
      <c r="AO31" s="50">
        <f t="shared" si="30"/>
        <v>2522205</v>
      </c>
      <c r="AP31" s="58">
        <f>AO31/AQ30</f>
        <v>9238.846154</v>
      </c>
      <c r="AQ31" s="54">
        <f>AQ30/AK31</f>
        <v>136.5</v>
      </c>
      <c r="AR31" s="40"/>
      <c r="AS31" s="51"/>
      <c r="AT31" s="36"/>
      <c r="AU31" s="60"/>
      <c r="AV31" s="48">
        <f>D31</f>
        <v>2</v>
      </c>
      <c r="AW31" s="49">
        <f>(AU30-AZ31)/AU30</f>
        <v>0.28</v>
      </c>
      <c r="AX31" s="53">
        <f t="shared" ref="AX31:AX32" si="41">F31-(F31*20%)</f>
        <v>1186920</v>
      </c>
      <c r="AY31" s="50">
        <f t="shared" ref="AY31:AY32" si="42">(AZ31-AX31)/(AV31-1)</f>
        <v>1186920</v>
      </c>
      <c r="AZ31" s="50">
        <f t="shared" si="31"/>
        <v>2373840</v>
      </c>
      <c r="BA31" s="58">
        <f>AZ31/BB30</f>
        <v>8695.384615</v>
      </c>
      <c r="BB31" s="54">
        <f>BB30/AV31</f>
        <v>136.5</v>
      </c>
      <c r="BC31" s="40"/>
      <c r="BD31" s="46"/>
    </row>
    <row r="32" ht="13.5" customHeight="1">
      <c r="A32" s="35"/>
      <c r="B32" s="36"/>
      <c r="C32" s="52"/>
      <c r="D32" s="48">
        <v>7.0</v>
      </c>
      <c r="E32" s="49">
        <v>0.05</v>
      </c>
      <c r="F32" s="53">
        <f t="shared" si="32"/>
        <v>447450</v>
      </c>
      <c r="G32" s="50">
        <f t="shared" si="33"/>
        <v>447450</v>
      </c>
      <c r="H32" s="50">
        <f>C30-(C30*E32)</f>
        <v>3132150</v>
      </c>
      <c r="I32" s="58">
        <f>H32/J30</f>
        <v>11473.07692</v>
      </c>
      <c r="J32" s="54">
        <f>J30/D32</f>
        <v>39</v>
      </c>
      <c r="K32" s="40"/>
      <c r="L32" s="35"/>
      <c r="M32" s="36"/>
      <c r="N32" s="52"/>
      <c r="O32" s="48">
        <f t="shared" si="34"/>
        <v>7</v>
      </c>
      <c r="P32" s="49">
        <f>(N30-S32)/N30</f>
        <v>0.0975</v>
      </c>
      <c r="Q32" s="53">
        <f t="shared" si="35"/>
        <v>425077.5</v>
      </c>
      <c r="R32" s="50">
        <f t="shared" si="36"/>
        <v>425077.5</v>
      </c>
      <c r="S32" s="50">
        <f t="shared" si="28"/>
        <v>2975542.5</v>
      </c>
      <c r="T32" s="50">
        <f>S32/U30</f>
        <v>10899.42308</v>
      </c>
      <c r="U32" s="54">
        <f>U30/O32</f>
        <v>39</v>
      </c>
      <c r="V32" s="40"/>
      <c r="W32" s="51"/>
      <c r="X32" s="36"/>
      <c r="Y32" s="52"/>
      <c r="Z32" s="48">
        <f>+D32</f>
        <v>7</v>
      </c>
      <c r="AA32" s="49">
        <f>(Y30-AD32)/Y30</f>
        <v>0.145</v>
      </c>
      <c r="AB32" s="53">
        <f t="shared" si="37"/>
        <v>402705</v>
      </c>
      <c r="AC32" s="50">
        <f t="shared" si="38"/>
        <v>402705</v>
      </c>
      <c r="AD32" s="50">
        <f t="shared" si="29"/>
        <v>2818935</v>
      </c>
      <c r="AE32" s="50">
        <f>AD32/AF30</f>
        <v>10325.76923</v>
      </c>
      <c r="AF32" s="54">
        <f>AF30/Z32</f>
        <v>39</v>
      </c>
      <c r="AG32" s="40"/>
      <c r="AH32" s="51"/>
      <c r="AI32" s="36"/>
      <c r="AJ32" s="52"/>
      <c r="AK32" s="48">
        <f>+D32</f>
        <v>7</v>
      </c>
      <c r="AL32" s="49">
        <f>(AJ30-AO32)/AJ30</f>
        <v>0.1925</v>
      </c>
      <c r="AM32" s="53">
        <f t="shared" si="39"/>
        <v>380332.5</v>
      </c>
      <c r="AN32" s="50">
        <f t="shared" si="40"/>
        <v>380332.5</v>
      </c>
      <c r="AO32" s="50">
        <f t="shared" si="30"/>
        <v>2662327.5</v>
      </c>
      <c r="AP32" s="58">
        <f>AO32/AQ30</f>
        <v>9752.115385</v>
      </c>
      <c r="AQ32" s="54">
        <f>AQ30/AK32</f>
        <v>39</v>
      </c>
      <c r="AR32" s="40"/>
      <c r="AS32" s="59"/>
      <c r="AT32" s="36"/>
      <c r="AU32" s="52"/>
      <c r="AV32" s="48">
        <f>+D32</f>
        <v>7</v>
      </c>
      <c r="AW32" s="49">
        <f>(AU30-AZ32)/AU30</f>
        <v>0.24</v>
      </c>
      <c r="AX32" s="53">
        <f t="shared" si="41"/>
        <v>357960</v>
      </c>
      <c r="AY32" s="50">
        <f t="shared" si="42"/>
        <v>357960</v>
      </c>
      <c r="AZ32" s="50">
        <f t="shared" si="31"/>
        <v>2505720</v>
      </c>
      <c r="BA32" s="50">
        <f>AZ32/BB30</f>
        <v>9178.461538</v>
      </c>
      <c r="BB32" s="54">
        <f>BB30/AV32</f>
        <v>39</v>
      </c>
      <c r="BC32" s="40"/>
      <c r="BD32" s="51"/>
    </row>
    <row r="33" ht="13.5" customHeight="1">
      <c r="A33" s="35"/>
      <c r="B33" s="36"/>
      <c r="C33" s="35"/>
      <c r="D33" s="35"/>
      <c r="E33" s="35"/>
      <c r="F33" s="35"/>
      <c r="G33" s="35"/>
      <c r="H33" s="55"/>
      <c r="I33" s="51"/>
      <c r="J33" s="35"/>
      <c r="K33" s="40"/>
      <c r="L33" s="35"/>
      <c r="M33" s="36"/>
      <c r="N33" s="35"/>
      <c r="O33" s="35"/>
      <c r="P33" s="35"/>
      <c r="Q33" s="35"/>
      <c r="R33" s="35"/>
      <c r="S33" s="35"/>
      <c r="T33" s="35"/>
      <c r="U33" s="35"/>
      <c r="V33" s="40"/>
      <c r="W33" s="59"/>
      <c r="X33" s="36"/>
      <c r="Y33" s="35"/>
      <c r="Z33" s="35"/>
      <c r="AA33" s="35"/>
      <c r="AB33" s="35"/>
      <c r="AC33" s="35"/>
      <c r="AD33" s="35"/>
      <c r="AE33" s="35"/>
      <c r="AF33" s="35"/>
      <c r="AG33" s="40"/>
      <c r="AH33" s="59"/>
      <c r="AI33" s="36"/>
      <c r="AJ33" s="35"/>
      <c r="AK33" s="35"/>
      <c r="AL33" s="35"/>
      <c r="AM33" s="35"/>
      <c r="AN33" s="35"/>
      <c r="AO33" s="35"/>
      <c r="AP33" s="35"/>
      <c r="AQ33" s="35"/>
      <c r="AR33" s="40"/>
      <c r="AS33" s="35"/>
      <c r="AT33" s="36"/>
      <c r="AU33" s="35"/>
      <c r="AV33" s="35"/>
      <c r="AW33" s="35"/>
      <c r="AX33" s="35"/>
      <c r="AY33" s="35"/>
      <c r="AZ33" s="35"/>
      <c r="BA33" s="35"/>
      <c r="BB33" s="35"/>
      <c r="BC33" s="40"/>
      <c r="BD33" s="59"/>
    </row>
    <row r="34" ht="32.25" customHeight="1">
      <c r="A34" s="35"/>
      <c r="B34" s="36"/>
      <c r="C34" s="56" t="s">
        <v>38</v>
      </c>
      <c r="D34" s="32"/>
      <c r="E34" s="32"/>
      <c r="F34" s="32"/>
      <c r="G34" s="32"/>
      <c r="H34" s="32"/>
      <c r="I34" s="32"/>
      <c r="J34" s="33"/>
      <c r="K34" s="40"/>
      <c r="L34" s="35"/>
      <c r="M34" s="36"/>
      <c r="N34" s="56" t="str">
        <f>C34</f>
        <v>Plan 2 Niveles
(318 Horas Reloj - Niveles B1 y B2)</v>
      </c>
      <c r="O34" s="32"/>
      <c r="P34" s="32"/>
      <c r="Q34" s="32"/>
      <c r="R34" s="32"/>
      <c r="S34" s="32"/>
      <c r="T34" s="32"/>
      <c r="U34" s="33"/>
      <c r="V34" s="40"/>
      <c r="W34" s="35"/>
      <c r="X34" s="36"/>
      <c r="Y34" s="56" t="str">
        <f>C34</f>
        <v>Plan 2 Niveles
(318 Horas Reloj - Niveles B1 y B2)</v>
      </c>
      <c r="Z34" s="32"/>
      <c r="AA34" s="32"/>
      <c r="AB34" s="32"/>
      <c r="AC34" s="32"/>
      <c r="AD34" s="32"/>
      <c r="AE34" s="32"/>
      <c r="AF34" s="32"/>
      <c r="AG34" s="40"/>
      <c r="AH34" s="35"/>
      <c r="AI34" s="36"/>
      <c r="AJ34" s="56" t="str">
        <f>C34</f>
        <v>Plan 2 Niveles
(318 Horas Reloj - Niveles B1 y B2)</v>
      </c>
      <c r="AK34" s="32"/>
      <c r="AL34" s="32"/>
      <c r="AM34" s="32"/>
      <c r="AN34" s="32"/>
      <c r="AO34" s="32"/>
      <c r="AP34" s="32"/>
      <c r="AQ34" s="33"/>
      <c r="AR34" s="40"/>
      <c r="AS34" s="43"/>
      <c r="AT34" s="36"/>
      <c r="AU34" s="56" t="str">
        <f>C34</f>
        <v>Plan 2 Niveles
(318 Horas Reloj - Niveles B1 y B2)</v>
      </c>
      <c r="AV34" s="32"/>
      <c r="AW34" s="32"/>
      <c r="AX34" s="32"/>
      <c r="AY34" s="32"/>
      <c r="AZ34" s="32"/>
      <c r="BA34" s="32"/>
      <c r="BB34" s="33"/>
      <c r="BC34" s="40"/>
      <c r="BD34" s="35"/>
    </row>
    <row r="35" ht="13.5" customHeight="1">
      <c r="A35" s="35"/>
      <c r="B35" s="36"/>
      <c r="C35" s="41" t="s">
        <v>26</v>
      </c>
      <c r="D35" s="41" t="s">
        <v>27</v>
      </c>
      <c r="E35" s="41" t="s">
        <v>28</v>
      </c>
      <c r="F35" s="37" t="s">
        <v>29</v>
      </c>
      <c r="G35" s="37" t="s">
        <v>30</v>
      </c>
      <c r="H35" s="41" t="s">
        <v>31</v>
      </c>
      <c r="I35" s="57" t="s">
        <v>32</v>
      </c>
      <c r="J35" s="39" t="s">
        <v>33</v>
      </c>
      <c r="K35" s="40"/>
      <c r="L35" s="35"/>
      <c r="M35" s="36"/>
      <c r="N35" s="41" t="s">
        <v>26</v>
      </c>
      <c r="O35" s="41" t="s">
        <v>27</v>
      </c>
      <c r="P35" s="41" t="s">
        <v>28</v>
      </c>
      <c r="Q35" s="37" t="s">
        <v>29</v>
      </c>
      <c r="R35" s="37" t="s">
        <v>30</v>
      </c>
      <c r="S35" s="41" t="s">
        <v>31</v>
      </c>
      <c r="T35" s="44" t="s">
        <v>32</v>
      </c>
      <c r="U35" s="39" t="s">
        <v>33</v>
      </c>
      <c r="V35" s="40"/>
      <c r="W35" s="43"/>
      <c r="X35" s="36"/>
      <c r="Y35" s="41" t="s">
        <v>26</v>
      </c>
      <c r="Z35" s="41" t="s">
        <v>27</v>
      </c>
      <c r="AA35" s="41" t="s">
        <v>28</v>
      </c>
      <c r="AB35" s="37" t="s">
        <v>29</v>
      </c>
      <c r="AC35" s="37" t="s">
        <v>30</v>
      </c>
      <c r="AD35" s="41" t="s">
        <v>31</v>
      </c>
      <c r="AE35" s="44" t="s">
        <v>32</v>
      </c>
      <c r="AF35" s="39" t="s">
        <v>33</v>
      </c>
      <c r="AG35" s="40"/>
      <c r="AH35" s="43"/>
      <c r="AI35" s="36"/>
      <c r="AJ35" s="41" t="s">
        <v>26</v>
      </c>
      <c r="AK35" s="41" t="s">
        <v>27</v>
      </c>
      <c r="AL35" s="41" t="s">
        <v>28</v>
      </c>
      <c r="AM35" s="37" t="s">
        <v>29</v>
      </c>
      <c r="AN35" s="37" t="s">
        <v>30</v>
      </c>
      <c r="AO35" s="41" t="s">
        <v>31</v>
      </c>
      <c r="AP35" s="57" t="s">
        <v>32</v>
      </c>
      <c r="AQ35" s="39" t="s">
        <v>33</v>
      </c>
      <c r="AR35" s="40"/>
      <c r="AS35" s="46"/>
      <c r="AT35" s="36"/>
      <c r="AU35" s="37" t="s">
        <v>26</v>
      </c>
      <c r="AV35" s="37" t="s">
        <v>27</v>
      </c>
      <c r="AW35" s="37" t="s">
        <v>28</v>
      </c>
      <c r="AX35" s="37" t="s">
        <v>29</v>
      </c>
      <c r="AY35" s="37" t="s">
        <v>30</v>
      </c>
      <c r="AZ35" s="37" t="s">
        <v>31</v>
      </c>
      <c r="BA35" s="38" t="s">
        <v>32</v>
      </c>
      <c r="BB35" s="39" t="s">
        <v>33</v>
      </c>
      <c r="BC35" s="40"/>
      <c r="BD35" s="43"/>
    </row>
    <row r="36" ht="13.5" customHeight="1">
      <c r="A36" s="35"/>
      <c r="B36" s="36"/>
      <c r="C36" s="47">
        <f>C18+C18</f>
        <v>3840000</v>
      </c>
      <c r="D36" s="48">
        <v>1.0</v>
      </c>
      <c r="E36" s="49">
        <v>0.15</v>
      </c>
      <c r="F36" s="50">
        <f>H36</f>
        <v>3264000</v>
      </c>
      <c r="G36" s="50">
        <v>0.0</v>
      </c>
      <c r="H36" s="50">
        <f>C36-(C36*E36)</f>
        <v>3264000</v>
      </c>
      <c r="I36" s="58">
        <f>H36/J36</f>
        <v>10264.15094</v>
      </c>
      <c r="J36" s="48">
        <v>318.0</v>
      </c>
      <c r="K36" s="40"/>
      <c r="L36" s="35"/>
      <c r="M36" s="36"/>
      <c r="N36" s="47">
        <f>N18+N18</f>
        <v>3840000</v>
      </c>
      <c r="O36" s="48">
        <v>1.0</v>
      </c>
      <c r="P36" s="49">
        <f>(N36-S36)/N36</f>
        <v>0.1925</v>
      </c>
      <c r="Q36" s="50">
        <f>S36</f>
        <v>3100800</v>
      </c>
      <c r="R36" s="50">
        <v>0.0</v>
      </c>
      <c r="S36" s="50">
        <f t="shared" ref="S36:S38" si="43">H36*0.95</f>
        <v>3100800</v>
      </c>
      <c r="T36" s="50">
        <f>S36/U36</f>
        <v>9750.943396</v>
      </c>
      <c r="U36" s="48">
        <v>318.0</v>
      </c>
      <c r="V36" s="40"/>
      <c r="W36" s="46"/>
      <c r="X36" s="36"/>
      <c r="Y36" s="47">
        <f>Y18+Y18</f>
        <v>3840000</v>
      </c>
      <c r="Z36" s="48">
        <v>1.0</v>
      </c>
      <c r="AA36" s="49">
        <f>(Y36-AD36)/Y36</f>
        <v>0.235</v>
      </c>
      <c r="AB36" s="50">
        <f>AD36</f>
        <v>2937600</v>
      </c>
      <c r="AC36" s="50">
        <v>0.0</v>
      </c>
      <c r="AD36" s="50">
        <f t="shared" ref="AD36:AD38" si="44">H36*0.9</f>
        <v>2937600</v>
      </c>
      <c r="AE36" s="50">
        <f>AD36/AF36</f>
        <v>9237.735849</v>
      </c>
      <c r="AF36" s="48">
        <v>318.0</v>
      </c>
      <c r="AG36" s="40"/>
      <c r="AH36" s="46"/>
      <c r="AI36" s="36"/>
      <c r="AJ36" s="47">
        <f>SUM(AJ18+AJ18)</f>
        <v>3840000</v>
      </c>
      <c r="AK36" s="48">
        <v>1.0</v>
      </c>
      <c r="AL36" s="49">
        <f>(AJ36-AO36)/AJ36</f>
        <v>0.2775</v>
      </c>
      <c r="AM36" s="50">
        <f>AO36</f>
        <v>2774400</v>
      </c>
      <c r="AN36" s="50">
        <v>0.0</v>
      </c>
      <c r="AO36" s="50">
        <f t="shared" ref="AO36:AO38" si="45">H36*0.85</f>
        <v>2774400</v>
      </c>
      <c r="AP36" s="58">
        <f>AO36/AQ36</f>
        <v>8724.528302</v>
      </c>
      <c r="AQ36" s="48">
        <v>318.0</v>
      </c>
      <c r="AR36" s="40"/>
      <c r="AS36" s="51"/>
      <c r="AT36" s="36"/>
      <c r="AU36" s="47">
        <f>SUM(AU18+AU18)</f>
        <v>3840000</v>
      </c>
      <c r="AV36" s="48">
        <v>1.0</v>
      </c>
      <c r="AW36" s="49">
        <f>(AU36-AZ36)/AU36</f>
        <v>0.32</v>
      </c>
      <c r="AX36" s="50">
        <f>AZ36</f>
        <v>2611200</v>
      </c>
      <c r="AY36" s="50">
        <v>0.0</v>
      </c>
      <c r="AZ36" s="50">
        <f t="shared" ref="AZ36:AZ38" si="46">H36*0.8</f>
        <v>2611200</v>
      </c>
      <c r="BA36" s="50">
        <f>AZ36/BB36</f>
        <v>8211.320755</v>
      </c>
      <c r="BB36" s="48">
        <v>318.0</v>
      </c>
      <c r="BC36" s="40"/>
      <c r="BD36" s="46"/>
    </row>
    <row r="37" ht="13.5" customHeight="1">
      <c r="A37" s="35"/>
      <c r="B37" s="36"/>
      <c r="C37" s="60"/>
      <c r="D37" s="48">
        <v>2.0</v>
      </c>
      <c r="E37" s="49">
        <v>0.1</v>
      </c>
      <c r="F37" s="53">
        <f t="shared" ref="F37:F38" si="47">H37/D37</f>
        <v>1728000</v>
      </c>
      <c r="G37" s="50">
        <f t="shared" ref="G37:G38" si="48">(H37-F37)/(D37-1)</f>
        <v>1728000</v>
      </c>
      <c r="H37" s="50">
        <f>C36-(C36*E37)</f>
        <v>3456000</v>
      </c>
      <c r="I37" s="58">
        <f>H37/J36</f>
        <v>10867.92453</v>
      </c>
      <c r="J37" s="54">
        <f>J36/D37</f>
        <v>159</v>
      </c>
      <c r="K37" s="40"/>
      <c r="L37" s="35"/>
      <c r="M37" s="36"/>
      <c r="N37" s="60"/>
      <c r="O37" s="48">
        <f t="shared" ref="O37:O38" si="49">D37</f>
        <v>2</v>
      </c>
      <c r="P37" s="49">
        <f>(N36-S37)/N36</f>
        <v>0.145</v>
      </c>
      <c r="Q37" s="53">
        <f t="shared" ref="Q37:Q38" si="50">F37-(F37*5%)</f>
        <v>1641600</v>
      </c>
      <c r="R37" s="50">
        <f t="shared" ref="R37:R38" si="51">(S37-Q37)/(O37-1)</f>
        <v>1641600</v>
      </c>
      <c r="S37" s="50">
        <f t="shared" si="43"/>
        <v>3283200</v>
      </c>
      <c r="T37" s="58">
        <f>S37/U36</f>
        <v>10324.5283</v>
      </c>
      <c r="U37" s="54">
        <f>U36/O37</f>
        <v>159</v>
      </c>
      <c r="V37" s="40"/>
      <c r="W37" s="46"/>
      <c r="X37" s="36"/>
      <c r="Y37" s="60"/>
      <c r="Z37" s="48">
        <f>D37</f>
        <v>2</v>
      </c>
      <c r="AA37" s="49">
        <f>(Y36-AD37)/Y36</f>
        <v>0.19</v>
      </c>
      <c r="AB37" s="53">
        <f t="shared" ref="AB37:AB38" si="52">F37-(F37*10%)</f>
        <v>1555200</v>
      </c>
      <c r="AC37" s="50">
        <f t="shared" ref="AC37:AC38" si="53">(AD37-AB37)/(Z37-1)</f>
        <v>1555200</v>
      </c>
      <c r="AD37" s="50">
        <f t="shared" si="44"/>
        <v>3110400</v>
      </c>
      <c r="AE37" s="58">
        <f>AD37/AF36</f>
        <v>9781.132075</v>
      </c>
      <c r="AF37" s="54">
        <f>AF36/Z37</f>
        <v>159</v>
      </c>
      <c r="AG37" s="40"/>
      <c r="AH37" s="46"/>
      <c r="AI37" s="36"/>
      <c r="AJ37" s="60"/>
      <c r="AK37" s="48">
        <f>D37</f>
        <v>2</v>
      </c>
      <c r="AL37" s="49">
        <f>(AJ36-AO37)/AJ36</f>
        <v>0.235</v>
      </c>
      <c r="AM37" s="53">
        <f t="shared" ref="AM37:AM38" si="54">F37-(F37*15%)</f>
        <v>1468800</v>
      </c>
      <c r="AN37" s="50">
        <f t="shared" ref="AN37:AN38" si="55">(AO37-AM37)/(AK37-1)</f>
        <v>1468800</v>
      </c>
      <c r="AO37" s="50">
        <f t="shared" si="45"/>
        <v>2937600</v>
      </c>
      <c r="AP37" s="58">
        <f>AO37/AQ36</f>
        <v>9237.735849</v>
      </c>
      <c r="AQ37" s="54">
        <f>AQ36/AK37</f>
        <v>159</v>
      </c>
      <c r="AR37" s="40"/>
      <c r="AS37" s="51"/>
      <c r="AT37" s="36"/>
      <c r="AU37" s="60"/>
      <c r="AV37" s="48">
        <f>D37</f>
        <v>2</v>
      </c>
      <c r="AW37" s="49">
        <f>(AU36-AZ37)/AU36</f>
        <v>0.28</v>
      </c>
      <c r="AX37" s="53">
        <f t="shared" ref="AX37:AX38" si="56">F37-(F37*20%)</f>
        <v>1382400</v>
      </c>
      <c r="AY37" s="50">
        <f t="shared" ref="AY37:AY38" si="57">(AZ37-AX37)/(AV37-1)</f>
        <v>1382400</v>
      </c>
      <c r="AZ37" s="50">
        <f t="shared" si="46"/>
        <v>2764800</v>
      </c>
      <c r="BA37" s="58">
        <f>AZ37/BB36</f>
        <v>8694.339623</v>
      </c>
      <c r="BB37" s="54">
        <f>BB36/AV37</f>
        <v>159</v>
      </c>
      <c r="BC37" s="40"/>
      <c r="BD37" s="46"/>
    </row>
    <row r="38" ht="13.5" customHeight="1">
      <c r="A38" s="35"/>
      <c r="B38" s="36"/>
      <c r="C38" s="52"/>
      <c r="D38" s="48">
        <v>8.0</v>
      </c>
      <c r="E38" s="49">
        <v>0.05</v>
      </c>
      <c r="F38" s="53">
        <f t="shared" si="47"/>
        <v>456000</v>
      </c>
      <c r="G38" s="50">
        <f t="shared" si="48"/>
        <v>456000</v>
      </c>
      <c r="H38" s="50">
        <f>C36-(C36*E38)</f>
        <v>3648000</v>
      </c>
      <c r="I38" s="58">
        <f>H38/J36</f>
        <v>11471.69811</v>
      </c>
      <c r="J38" s="54">
        <f>J36/D38</f>
        <v>39.75</v>
      </c>
      <c r="K38" s="40"/>
      <c r="L38" s="35"/>
      <c r="M38" s="36"/>
      <c r="N38" s="52"/>
      <c r="O38" s="48">
        <f t="shared" si="49"/>
        <v>8</v>
      </c>
      <c r="P38" s="49">
        <f>(N36-S38)/N36</f>
        <v>0.0975</v>
      </c>
      <c r="Q38" s="53">
        <f t="shared" si="50"/>
        <v>433200</v>
      </c>
      <c r="R38" s="50">
        <f t="shared" si="51"/>
        <v>433200</v>
      </c>
      <c r="S38" s="50">
        <f t="shared" si="43"/>
        <v>3465600</v>
      </c>
      <c r="T38" s="50">
        <f>S38/U36</f>
        <v>10898.11321</v>
      </c>
      <c r="U38" s="54">
        <f>U36/O38</f>
        <v>39.75</v>
      </c>
      <c r="V38" s="40"/>
      <c r="W38" s="51"/>
      <c r="X38" s="36"/>
      <c r="Y38" s="52"/>
      <c r="Z38" s="48">
        <f>+D38</f>
        <v>8</v>
      </c>
      <c r="AA38" s="49">
        <f>(Y36-AD38)/Y36</f>
        <v>0.145</v>
      </c>
      <c r="AB38" s="53">
        <f t="shared" si="52"/>
        <v>410400</v>
      </c>
      <c r="AC38" s="50">
        <f t="shared" si="53"/>
        <v>410400</v>
      </c>
      <c r="AD38" s="50">
        <f t="shared" si="44"/>
        <v>3283200</v>
      </c>
      <c r="AE38" s="50">
        <f>AD38/AF36</f>
        <v>10324.5283</v>
      </c>
      <c r="AF38" s="54">
        <f>AF36/Z38</f>
        <v>39.75</v>
      </c>
      <c r="AG38" s="40"/>
      <c r="AH38" s="51"/>
      <c r="AI38" s="36"/>
      <c r="AJ38" s="52"/>
      <c r="AK38" s="48">
        <f>+D38</f>
        <v>8</v>
      </c>
      <c r="AL38" s="49">
        <f>(AJ36-AO38)/AJ36</f>
        <v>0.1925</v>
      </c>
      <c r="AM38" s="53">
        <f t="shared" si="54"/>
        <v>387600</v>
      </c>
      <c r="AN38" s="50">
        <f t="shared" si="55"/>
        <v>387600</v>
      </c>
      <c r="AO38" s="50">
        <f t="shared" si="45"/>
        <v>3100800</v>
      </c>
      <c r="AP38" s="58">
        <f>AO38/AQ36</f>
        <v>9750.943396</v>
      </c>
      <c r="AQ38" s="54">
        <f>AQ36/AK38</f>
        <v>39.75</v>
      </c>
      <c r="AR38" s="40"/>
      <c r="AS38" s="59"/>
      <c r="AT38" s="36"/>
      <c r="AU38" s="52"/>
      <c r="AV38" s="48">
        <f>+D38</f>
        <v>8</v>
      </c>
      <c r="AW38" s="49">
        <f>(AU36-AZ38)/AU36</f>
        <v>0.24</v>
      </c>
      <c r="AX38" s="53">
        <f t="shared" si="56"/>
        <v>364800</v>
      </c>
      <c r="AY38" s="50">
        <f t="shared" si="57"/>
        <v>364800</v>
      </c>
      <c r="AZ38" s="50">
        <f t="shared" si="46"/>
        <v>2918400</v>
      </c>
      <c r="BA38" s="50">
        <f>AZ38/BB36</f>
        <v>9177.358491</v>
      </c>
      <c r="BB38" s="54">
        <f>BB36/AV38</f>
        <v>39.75</v>
      </c>
      <c r="BC38" s="40"/>
      <c r="BD38" s="51"/>
    </row>
    <row r="39" ht="13.5" customHeight="1">
      <c r="A39" s="35"/>
      <c r="B39" s="36"/>
      <c r="C39" s="35"/>
      <c r="D39" s="35"/>
      <c r="E39" s="35"/>
      <c r="F39" s="35"/>
      <c r="G39" s="35"/>
      <c r="H39" s="35"/>
      <c r="I39" s="51"/>
      <c r="J39" s="35"/>
      <c r="K39" s="40"/>
      <c r="L39" s="35"/>
      <c r="M39" s="36"/>
      <c r="N39" s="35"/>
      <c r="O39" s="35"/>
      <c r="P39" s="35"/>
      <c r="Q39" s="35"/>
      <c r="R39" s="35"/>
      <c r="S39" s="35"/>
      <c r="T39" s="35"/>
      <c r="U39" s="35"/>
      <c r="V39" s="40"/>
      <c r="W39" s="59"/>
      <c r="X39" s="36"/>
      <c r="Y39" s="35"/>
      <c r="Z39" s="35"/>
      <c r="AA39" s="35"/>
      <c r="AB39" s="35"/>
      <c r="AC39" s="35"/>
      <c r="AD39" s="35"/>
      <c r="AE39" s="35"/>
      <c r="AF39" s="35"/>
      <c r="AG39" s="40"/>
      <c r="AH39" s="59"/>
      <c r="AI39" s="36"/>
      <c r="AJ39" s="35"/>
      <c r="AK39" s="35"/>
      <c r="AL39" s="35"/>
      <c r="AM39" s="35"/>
      <c r="AN39" s="35"/>
      <c r="AO39" s="35"/>
      <c r="AP39" s="35"/>
      <c r="AQ39" s="35"/>
      <c r="AR39" s="40"/>
      <c r="AS39" s="35"/>
      <c r="AT39" s="36"/>
      <c r="AU39" s="35"/>
      <c r="AV39" s="35"/>
      <c r="AW39" s="35"/>
      <c r="AX39" s="35"/>
      <c r="AY39" s="35"/>
      <c r="AZ39" s="35"/>
      <c r="BA39" s="35"/>
      <c r="BB39" s="35"/>
      <c r="BC39" s="40"/>
      <c r="BD39" s="59"/>
    </row>
    <row r="40" ht="33.75" customHeight="1">
      <c r="A40" s="35"/>
      <c r="B40" s="36"/>
      <c r="C40" s="56" t="s">
        <v>39</v>
      </c>
      <c r="D40" s="32"/>
      <c r="E40" s="32"/>
      <c r="F40" s="32"/>
      <c r="G40" s="32"/>
      <c r="H40" s="32"/>
      <c r="I40" s="32"/>
      <c r="J40" s="33"/>
      <c r="K40" s="40"/>
      <c r="L40" s="35"/>
      <c r="M40" s="36"/>
      <c r="N40" s="56" t="str">
        <f>C40</f>
        <v>Plan 2 Niveles
(318 Horas Reloj - Niveles B2 y C1)</v>
      </c>
      <c r="O40" s="32"/>
      <c r="P40" s="32"/>
      <c r="Q40" s="32"/>
      <c r="R40" s="32"/>
      <c r="S40" s="32"/>
      <c r="T40" s="32"/>
      <c r="U40" s="33"/>
      <c r="V40" s="40"/>
      <c r="W40" s="35"/>
      <c r="X40" s="36"/>
      <c r="Y40" s="56" t="str">
        <f>C40</f>
        <v>Plan 2 Niveles
(318 Horas Reloj - Niveles B2 y C1)</v>
      </c>
      <c r="Z40" s="32"/>
      <c r="AA40" s="32"/>
      <c r="AB40" s="32"/>
      <c r="AC40" s="32"/>
      <c r="AD40" s="32"/>
      <c r="AE40" s="32"/>
      <c r="AF40" s="32"/>
      <c r="AG40" s="40"/>
      <c r="AH40" s="35"/>
      <c r="AI40" s="36"/>
      <c r="AJ40" s="56" t="str">
        <f>C40</f>
        <v>Plan 2 Niveles
(318 Horas Reloj - Niveles B2 y C1)</v>
      </c>
      <c r="AK40" s="32"/>
      <c r="AL40" s="32"/>
      <c r="AM40" s="32"/>
      <c r="AN40" s="32"/>
      <c r="AO40" s="32"/>
      <c r="AP40" s="32"/>
      <c r="AQ40" s="33"/>
      <c r="AR40" s="40"/>
      <c r="AS40" s="43"/>
      <c r="AT40" s="36"/>
      <c r="AU40" s="56" t="str">
        <f>C40</f>
        <v>Plan 2 Niveles
(318 Horas Reloj - Niveles B2 y C1)</v>
      </c>
      <c r="AV40" s="32"/>
      <c r="AW40" s="32"/>
      <c r="AX40" s="32"/>
      <c r="AY40" s="32"/>
      <c r="AZ40" s="32"/>
      <c r="BA40" s="32"/>
      <c r="BB40" s="33"/>
      <c r="BC40" s="40"/>
      <c r="BD40" s="35"/>
    </row>
    <row r="41" ht="13.5" customHeight="1">
      <c r="A41" s="35"/>
      <c r="B41" s="36"/>
      <c r="C41" s="41" t="s">
        <v>26</v>
      </c>
      <c r="D41" s="41" t="s">
        <v>27</v>
      </c>
      <c r="E41" s="41" t="s">
        <v>28</v>
      </c>
      <c r="F41" s="37" t="s">
        <v>29</v>
      </c>
      <c r="G41" s="37" t="s">
        <v>30</v>
      </c>
      <c r="H41" s="41" t="s">
        <v>31</v>
      </c>
      <c r="I41" s="57" t="s">
        <v>32</v>
      </c>
      <c r="J41" s="39" t="s">
        <v>33</v>
      </c>
      <c r="K41" s="40"/>
      <c r="L41" s="35"/>
      <c r="M41" s="36"/>
      <c r="N41" s="41" t="s">
        <v>26</v>
      </c>
      <c r="O41" s="41" t="s">
        <v>27</v>
      </c>
      <c r="P41" s="41" t="s">
        <v>28</v>
      </c>
      <c r="Q41" s="37" t="s">
        <v>29</v>
      </c>
      <c r="R41" s="37" t="s">
        <v>30</v>
      </c>
      <c r="S41" s="41" t="s">
        <v>31</v>
      </c>
      <c r="T41" s="44" t="s">
        <v>32</v>
      </c>
      <c r="U41" s="39" t="s">
        <v>33</v>
      </c>
      <c r="V41" s="40"/>
      <c r="W41" s="43"/>
      <c r="X41" s="36"/>
      <c r="Y41" s="41" t="s">
        <v>26</v>
      </c>
      <c r="Z41" s="41" t="s">
        <v>27</v>
      </c>
      <c r="AA41" s="41" t="s">
        <v>28</v>
      </c>
      <c r="AB41" s="37" t="s">
        <v>29</v>
      </c>
      <c r="AC41" s="37" t="s">
        <v>30</v>
      </c>
      <c r="AD41" s="41" t="s">
        <v>31</v>
      </c>
      <c r="AE41" s="44" t="s">
        <v>32</v>
      </c>
      <c r="AF41" s="39" t="s">
        <v>33</v>
      </c>
      <c r="AG41" s="40"/>
      <c r="AH41" s="43"/>
      <c r="AI41" s="36"/>
      <c r="AJ41" s="41" t="s">
        <v>26</v>
      </c>
      <c r="AK41" s="41" t="s">
        <v>27</v>
      </c>
      <c r="AL41" s="41" t="s">
        <v>28</v>
      </c>
      <c r="AM41" s="37" t="s">
        <v>29</v>
      </c>
      <c r="AN41" s="37" t="s">
        <v>30</v>
      </c>
      <c r="AO41" s="41" t="s">
        <v>31</v>
      </c>
      <c r="AP41" s="57" t="s">
        <v>32</v>
      </c>
      <c r="AQ41" s="39" t="s">
        <v>33</v>
      </c>
      <c r="AR41" s="40"/>
      <c r="AS41" s="46"/>
      <c r="AT41" s="36"/>
      <c r="AU41" s="37" t="s">
        <v>26</v>
      </c>
      <c r="AV41" s="37" t="s">
        <v>27</v>
      </c>
      <c r="AW41" s="37" t="s">
        <v>28</v>
      </c>
      <c r="AX41" s="37" t="s">
        <v>29</v>
      </c>
      <c r="AY41" s="37" t="s">
        <v>30</v>
      </c>
      <c r="AZ41" s="37" t="s">
        <v>31</v>
      </c>
      <c r="BA41" s="38" t="s">
        <v>32</v>
      </c>
      <c r="BB41" s="39" t="s">
        <v>33</v>
      </c>
      <c r="BC41" s="40"/>
      <c r="BD41" s="43"/>
    </row>
    <row r="42" ht="13.5" customHeight="1">
      <c r="A42" s="35"/>
      <c r="B42" s="36"/>
      <c r="C42" s="47">
        <f>C18+C18</f>
        <v>3840000</v>
      </c>
      <c r="D42" s="48">
        <v>1.0</v>
      </c>
      <c r="E42" s="49">
        <v>0.15</v>
      </c>
      <c r="F42" s="50">
        <f>H42</f>
        <v>3264000</v>
      </c>
      <c r="G42" s="50">
        <v>0.0</v>
      </c>
      <c r="H42" s="50">
        <f>C42-(C42*E42)</f>
        <v>3264000</v>
      </c>
      <c r="I42" s="58">
        <f>H42/J42</f>
        <v>10264.15094</v>
      </c>
      <c r="J42" s="48">
        <v>318.0</v>
      </c>
      <c r="K42" s="40"/>
      <c r="L42" s="35"/>
      <c r="M42" s="36"/>
      <c r="N42" s="47">
        <f>C42</f>
        <v>3840000</v>
      </c>
      <c r="O42" s="48">
        <v>1.0</v>
      </c>
      <c r="P42" s="49">
        <f>(N42-S42)/N42</f>
        <v>0.1925</v>
      </c>
      <c r="Q42" s="50">
        <f>S42</f>
        <v>3100800</v>
      </c>
      <c r="R42" s="50">
        <v>0.0</v>
      </c>
      <c r="S42" s="50">
        <f t="shared" ref="S42:S44" si="58">H42*0.95</f>
        <v>3100800</v>
      </c>
      <c r="T42" s="50">
        <f>S42/U42</f>
        <v>9750.943396</v>
      </c>
      <c r="U42" s="48">
        <v>318.0</v>
      </c>
      <c r="V42" s="40"/>
      <c r="W42" s="46"/>
      <c r="X42" s="36"/>
      <c r="Y42" s="47">
        <f>+C42</f>
        <v>3840000</v>
      </c>
      <c r="Z42" s="48">
        <v>1.0</v>
      </c>
      <c r="AA42" s="49">
        <f>(Y42-AD42)/Y42</f>
        <v>0.235</v>
      </c>
      <c r="AB42" s="50">
        <f>AD42</f>
        <v>2937600</v>
      </c>
      <c r="AC42" s="50">
        <v>0.0</v>
      </c>
      <c r="AD42" s="50">
        <f t="shared" ref="AD42:AD44" si="59">H42*0.9</f>
        <v>2937600</v>
      </c>
      <c r="AE42" s="50">
        <f>AD42/AF42</f>
        <v>9237.735849</v>
      </c>
      <c r="AF42" s="48">
        <v>318.0</v>
      </c>
      <c r="AG42" s="40"/>
      <c r="AH42" s="46"/>
      <c r="AI42" s="36"/>
      <c r="AJ42" s="47">
        <f>C42</f>
        <v>3840000</v>
      </c>
      <c r="AK42" s="48">
        <v>1.0</v>
      </c>
      <c r="AL42" s="49">
        <f>(AJ42-AO42)/AJ42</f>
        <v>0.2775</v>
      </c>
      <c r="AM42" s="50">
        <f>AO42</f>
        <v>2774400</v>
      </c>
      <c r="AN42" s="50">
        <v>0.0</v>
      </c>
      <c r="AO42" s="50">
        <f t="shared" ref="AO42:AO44" si="60">H42*0.85</f>
        <v>2774400</v>
      </c>
      <c r="AP42" s="58">
        <f>AO42/AQ42</f>
        <v>8724.528302</v>
      </c>
      <c r="AQ42" s="48">
        <v>318.0</v>
      </c>
      <c r="AR42" s="40"/>
      <c r="AS42" s="51"/>
      <c r="AT42" s="36"/>
      <c r="AU42" s="47">
        <f>C42</f>
        <v>3840000</v>
      </c>
      <c r="AV42" s="48">
        <v>1.0</v>
      </c>
      <c r="AW42" s="49">
        <f>(AU42-AZ42)/AU42</f>
        <v>0.32</v>
      </c>
      <c r="AX42" s="50">
        <f>AZ42</f>
        <v>2611200</v>
      </c>
      <c r="AY42" s="50">
        <v>0.0</v>
      </c>
      <c r="AZ42" s="50">
        <f t="shared" ref="AZ42:AZ44" si="61">H42*0.8</f>
        <v>2611200</v>
      </c>
      <c r="BA42" s="50">
        <f>AZ42/BB42</f>
        <v>8211.320755</v>
      </c>
      <c r="BB42" s="48">
        <v>318.0</v>
      </c>
      <c r="BC42" s="40"/>
      <c r="BD42" s="46"/>
    </row>
    <row r="43" ht="13.5" customHeight="1">
      <c r="A43" s="35"/>
      <c r="B43" s="36"/>
      <c r="C43" s="60"/>
      <c r="D43" s="48">
        <v>2.0</v>
      </c>
      <c r="E43" s="49">
        <v>0.1</v>
      </c>
      <c r="F43" s="53">
        <f t="shared" ref="F43:F44" si="62">H43/D43</f>
        <v>1728000</v>
      </c>
      <c r="G43" s="50">
        <f t="shared" ref="G43:G44" si="63">(H43-F43)/(D43-1)</f>
        <v>1728000</v>
      </c>
      <c r="H43" s="50">
        <f>C42-(C42*E43)</f>
        <v>3456000</v>
      </c>
      <c r="I43" s="58">
        <f>H43/J42</f>
        <v>10867.92453</v>
      </c>
      <c r="J43" s="54">
        <f>J42/D43</f>
        <v>159</v>
      </c>
      <c r="K43" s="40"/>
      <c r="L43" s="35"/>
      <c r="M43" s="36"/>
      <c r="N43" s="60"/>
      <c r="O43" s="48">
        <f t="shared" ref="O43:O44" si="64">D43</f>
        <v>2</v>
      </c>
      <c r="P43" s="49">
        <f>(N42-S43)/N42</f>
        <v>0.145</v>
      </c>
      <c r="Q43" s="53">
        <f t="shared" ref="Q43:Q44" si="65">F43-(F43*5%)</f>
        <v>1641600</v>
      </c>
      <c r="R43" s="50">
        <f t="shared" ref="R43:R44" si="66">(S43-Q43)/(O43-1)</f>
        <v>1641600</v>
      </c>
      <c r="S43" s="50">
        <f t="shared" si="58"/>
        <v>3283200</v>
      </c>
      <c r="T43" s="58">
        <f>S43/U42</f>
        <v>10324.5283</v>
      </c>
      <c r="U43" s="54">
        <f>U42/O43</f>
        <v>159</v>
      </c>
      <c r="V43" s="40"/>
      <c r="W43" s="46"/>
      <c r="X43" s="36"/>
      <c r="Y43" s="60"/>
      <c r="Z43" s="48">
        <f>D43</f>
        <v>2</v>
      </c>
      <c r="AA43" s="49">
        <f>(Y42-AD43)/Y42</f>
        <v>0.19</v>
      </c>
      <c r="AB43" s="53">
        <f t="shared" ref="AB43:AB44" si="67">F43-(F43*10%)</f>
        <v>1555200</v>
      </c>
      <c r="AC43" s="50">
        <f t="shared" ref="AC43:AC44" si="68">(AD43-AB43)/(Z43-1)</f>
        <v>1555200</v>
      </c>
      <c r="AD43" s="50">
        <f t="shared" si="59"/>
        <v>3110400</v>
      </c>
      <c r="AE43" s="58">
        <f>AD43/AF42</f>
        <v>9781.132075</v>
      </c>
      <c r="AF43" s="54">
        <f>AF42/Z43</f>
        <v>159</v>
      </c>
      <c r="AG43" s="40"/>
      <c r="AH43" s="46"/>
      <c r="AI43" s="36"/>
      <c r="AJ43" s="60"/>
      <c r="AK43" s="48">
        <f>D43</f>
        <v>2</v>
      </c>
      <c r="AL43" s="49">
        <f>(AJ42-AO43)/AJ42</f>
        <v>0.235</v>
      </c>
      <c r="AM43" s="53">
        <f t="shared" ref="AM43:AM44" si="69">F43-(F43*15%)</f>
        <v>1468800</v>
      </c>
      <c r="AN43" s="50">
        <f t="shared" ref="AN43:AN44" si="70">(AO43-AM43)/(AK43-1)</f>
        <v>1468800</v>
      </c>
      <c r="AO43" s="50">
        <f t="shared" si="60"/>
        <v>2937600</v>
      </c>
      <c r="AP43" s="58">
        <f>AO43/AQ42</f>
        <v>9237.735849</v>
      </c>
      <c r="AQ43" s="54">
        <f>AQ42/AK43</f>
        <v>159</v>
      </c>
      <c r="AR43" s="40"/>
      <c r="AS43" s="51"/>
      <c r="AT43" s="36"/>
      <c r="AU43" s="60"/>
      <c r="AV43" s="48">
        <f>D43</f>
        <v>2</v>
      </c>
      <c r="AW43" s="49">
        <f>(AU42-AZ43)/AU42</f>
        <v>0.28</v>
      </c>
      <c r="AX43" s="53">
        <f t="shared" ref="AX43:AX44" si="71">F43-(F43*20%)</f>
        <v>1382400</v>
      </c>
      <c r="AY43" s="50">
        <f t="shared" ref="AY43:AY44" si="72">(AZ43-AX43)/(AV43-1)</f>
        <v>1382400</v>
      </c>
      <c r="AZ43" s="50">
        <f t="shared" si="61"/>
        <v>2764800</v>
      </c>
      <c r="BA43" s="58">
        <f>AZ43/BB42</f>
        <v>8694.339623</v>
      </c>
      <c r="BB43" s="54">
        <f>BB42/AV43</f>
        <v>159</v>
      </c>
      <c r="BC43" s="40"/>
      <c r="BD43" s="46"/>
    </row>
    <row r="44" ht="13.5" customHeight="1">
      <c r="A44" s="35"/>
      <c r="B44" s="36"/>
      <c r="C44" s="52"/>
      <c r="D44" s="48">
        <v>8.0</v>
      </c>
      <c r="E44" s="49">
        <v>0.05</v>
      </c>
      <c r="F44" s="53">
        <f t="shared" si="62"/>
        <v>456000</v>
      </c>
      <c r="G44" s="50">
        <f t="shared" si="63"/>
        <v>456000</v>
      </c>
      <c r="H44" s="50">
        <f>C42-(C42*E44)</f>
        <v>3648000</v>
      </c>
      <c r="I44" s="58">
        <f>H44/J42</f>
        <v>11471.69811</v>
      </c>
      <c r="J44" s="54">
        <f>J42/D44</f>
        <v>39.75</v>
      </c>
      <c r="K44" s="40"/>
      <c r="L44" s="35"/>
      <c r="M44" s="36"/>
      <c r="N44" s="52"/>
      <c r="O44" s="48">
        <f t="shared" si="64"/>
        <v>8</v>
      </c>
      <c r="P44" s="49">
        <f>(N42-S44)/N42</f>
        <v>0.0975</v>
      </c>
      <c r="Q44" s="53">
        <f t="shared" si="65"/>
        <v>433200</v>
      </c>
      <c r="R44" s="50">
        <f t="shared" si="66"/>
        <v>433200</v>
      </c>
      <c r="S44" s="50">
        <f t="shared" si="58"/>
        <v>3465600</v>
      </c>
      <c r="T44" s="50">
        <f>S44/U42</f>
        <v>10898.11321</v>
      </c>
      <c r="U44" s="54">
        <f>U42/O44</f>
        <v>39.75</v>
      </c>
      <c r="V44" s="40"/>
      <c r="W44" s="51"/>
      <c r="X44" s="36"/>
      <c r="Y44" s="52"/>
      <c r="Z44" s="48">
        <f>+D44</f>
        <v>8</v>
      </c>
      <c r="AA44" s="49">
        <f>(Y42-AD44)/Y42</f>
        <v>0.145</v>
      </c>
      <c r="AB44" s="53">
        <f t="shared" si="67"/>
        <v>410400</v>
      </c>
      <c r="AC44" s="50">
        <f t="shared" si="68"/>
        <v>410400</v>
      </c>
      <c r="AD44" s="50">
        <f t="shared" si="59"/>
        <v>3283200</v>
      </c>
      <c r="AE44" s="50">
        <f>AD44/AF42</f>
        <v>10324.5283</v>
      </c>
      <c r="AF44" s="54">
        <f>AF42/Z44</f>
        <v>39.75</v>
      </c>
      <c r="AG44" s="40"/>
      <c r="AH44" s="51"/>
      <c r="AI44" s="36"/>
      <c r="AJ44" s="52"/>
      <c r="AK44" s="48">
        <f>+D44</f>
        <v>8</v>
      </c>
      <c r="AL44" s="49">
        <f>(AJ42-AO44)/AJ42</f>
        <v>0.1925</v>
      </c>
      <c r="AM44" s="53">
        <f t="shared" si="69"/>
        <v>387600</v>
      </c>
      <c r="AN44" s="50">
        <f t="shared" si="70"/>
        <v>387600</v>
      </c>
      <c r="AO44" s="50">
        <f t="shared" si="60"/>
        <v>3100800</v>
      </c>
      <c r="AP44" s="58">
        <f>AO44/AQ42</f>
        <v>9750.943396</v>
      </c>
      <c r="AQ44" s="54">
        <f>AQ42/AK44</f>
        <v>39.75</v>
      </c>
      <c r="AR44" s="40"/>
      <c r="AS44" s="59"/>
      <c r="AT44" s="36"/>
      <c r="AU44" s="52"/>
      <c r="AV44" s="48">
        <f>+D44</f>
        <v>8</v>
      </c>
      <c r="AW44" s="49">
        <f>(AU42-AZ44)/AU42</f>
        <v>0.24</v>
      </c>
      <c r="AX44" s="53">
        <f t="shared" si="71"/>
        <v>364800</v>
      </c>
      <c r="AY44" s="50">
        <f t="shared" si="72"/>
        <v>364800</v>
      </c>
      <c r="AZ44" s="50">
        <f t="shared" si="61"/>
        <v>2918400</v>
      </c>
      <c r="BA44" s="50">
        <f>AZ44/BB42</f>
        <v>9177.358491</v>
      </c>
      <c r="BB44" s="54">
        <f>BB42/AV44</f>
        <v>39.75</v>
      </c>
      <c r="BC44" s="40"/>
      <c r="BD44" s="51"/>
    </row>
    <row r="45" ht="13.5" customHeight="1">
      <c r="A45" s="35"/>
      <c r="B45" s="36"/>
      <c r="C45" s="35"/>
      <c r="D45" s="35"/>
      <c r="E45" s="35"/>
      <c r="F45" s="35"/>
      <c r="G45" s="35"/>
      <c r="H45" s="35"/>
      <c r="I45" s="51"/>
      <c r="J45" s="35"/>
      <c r="K45" s="40"/>
      <c r="L45" s="35"/>
      <c r="M45" s="36"/>
      <c r="N45" s="35"/>
      <c r="O45" s="35"/>
      <c r="P45" s="35"/>
      <c r="Q45" s="35"/>
      <c r="R45" s="35"/>
      <c r="S45" s="35"/>
      <c r="T45" s="35"/>
      <c r="U45" s="35"/>
      <c r="V45" s="40"/>
      <c r="W45" s="35"/>
      <c r="X45" s="36"/>
      <c r="Y45" s="35"/>
      <c r="Z45" s="35"/>
      <c r="AA45" s="35"/>
      <c r="AB45" s="35"/>
      <c r="AC45" s="35"/>
      <c r="AD45" s="35"/>
      <c r="AE45" s="35"/>
      <c r="AF45" s="35"/>
      <c r="AG45" s="40"/>
      <c r="AH45" s="35"/>
      <c r="AI45" s="36"/>
      <c r="AJ45" s="35"/>
      <c r="AK45" s="35"/>
      <c r="AL45" s="35"/>
      <c r="AM45" s="35"/>
      <c r="AN45" s="35"/>
      <c r="AO45" s="35"/>
      <c r="AP45" s="35"/>
      <c r="AQ45" s="35"/>
      <c r="AR45" s="40"/>
      <c r="AS45" s="35"/>
      <c r="AT45" s="36"/>
      <c r="AU45" s="35"/>
      <c r="AV45" s="35"/>
      <c r="AW45" s="35"/>
      <c r="AX45" s="35"/>
      <c r="AY45" s="35"/>
      <c r="AZ45" s="35"/>
      <c r="BA45" s="35"/>
      <c r="BB45" s="35"/>
      <c r="BC45" s="40"/>
      <c r="BD45" s="35"/>
    </row>
    <row r="46" ht="13.5" customHeight="1">
      <c r="A46" s="35"/>
      <c r="B46" s="36"/>
      <c r="C46" s="35"/>
      <c r="D46" s="35"/>
      <c r="E46" s="35"/>
      <c r="F46" s="35"/>
      <c r="G46" s="35"/>
      <c r="H46" s="35"/>
      <c r="I46" s="51"/>
      <c r="J46" s="35"/>
      <c r="K46" s="40"/>
      <c r="L46" s="35"/>
      <c r="M46" s="36"/>
      <c r="N46" s="35"/>
      <c r="O46" s="35"/>
      <c r="P46" s="35"/>
      <c r="Q46" s="35"/>
      <c r="R46" s="35"/>
      <c r="S46" s="35"/>
      <c r="T46" s="35"/>
      <c r="U46" s="35"/>
      <c r="V46" s="40"/>
      <c r="W46" s="59"/>
      <c r="X46" s="36"/>
      <c r="Y46" s="35"/>
      <c r="Z46" s="35"/>
      <c r="AA46" s="35"/>
      <c r="AB46" s="35"/>
      <c r="AC46" s="35"/>
      <c r="AD46" s="35"/>
      <c r="AE46" s="35"/>
      <c r="AF46" s="35"/>
      <c r="AG46" s="40"/>
      <c r="AH46" s="59"/>
      <c r="AI46" s="36"/>
      <c r="AJ46" s="35"/>
      <c r="AK46" s="35"/>
      <c r="AL46" s="35"/>
      <c r="AM46" s="35"/>
      <c r="AN46" s="35"/>
      <c r="AO46" s="35"/>
      <c r="AP46" s="35"/>
      <c r="AQ46" s="35"/>
      <c r="AR46" s="40"/>
      <c r="AS46" s="35"/>
      <c r="AT46" s="36"/>
      <c r="AU46" s="35"/>
      <c r="AV46" s="35"/>
      <c r="AW46" s="35"/>
      <c r="AX46" s="35"/>
      <c r="AY46" s="35"/>
      <c r="AZ46" s="35"/>
      <c r="BA46" s="35"/>
      <c r="BB46" s="35"/>
      <c r="BC46" s="40"/>
      <c r="BD46" s="59"/>
    </row>
    <row r="47" ht="33.0" customHeight="1">
      <c r="A47" s="35"/>
      <c r="B47" s="36"/>
      <c r="C47" s="56" t="s">
        <v>40</v>
      </c>
      <c r="D47" s="32"/>
      <c r="E47" s="32"/>
      <c r="F47" s="32"/>
      <c r="G47" s="32"/>
      <c r="H47" s="32"/>
      <c r="I47" s="32"/>
      <c r="J47" s="33"/>
      <c r="K47" s="40"/>
      <c r="L47" s="35"/>
      <c r="M47" s="36"/>
      <c r="N47" s="56" t="str">
        <f>C47</f>
        <v>Plan 3 Niveles
 (363 Horas Reloj - Niveles A1, A2 y B1)</v>
      </c>
      <c r="O47" s="32"/>
      <c r="P47" s="32"/>
      <c r="Q47" s="32"/>
      <c r="R47" s="32"/>
      <c r="S47" s="32"/>
      <c r="T47" s="32"/>
      <c r="U47" s="33"/>
      <c r="V47" s="40"/>
      <c r="W47" s="35"/>
      <c r="X47" s="36"/>
      <c r="Y47" s="56" t="str">
        <f>C47</f>
        <v>Plan 3 Niveles
 (363 Horas Reloj - Niveles A1, A2 y B1)</v>
      </c>
      <c r="Z47" s="32"/>
      <c r="AA47" s="32"/>
      <c r="AB47" s="32"/>
      <c r="AC47" s="32"/>
      <c r="AD47" s="32"/>
      <c r="AE47" s="32"/>
      <c r="AF47" s="32"/>
      <c r="AG47" s="40"/>
      <c r="AH47" s="35"/>
      <c r="AI47" s="36"/>
      <c r="AJ47" s="56" t="str">
        <f>C47</f>
        <v>Plan 3 Niveles
 (363 Horas Reloj - Niveles A1, A2 y B1)</v>
      </c>
      <c r="AK47" s="32"/>
      <c r="AL47" s="32"/>
      <c r="AM47" s="32"/>
      <c r="AN47" s="32"/>
      <c r="AO47" s="32"/>
      <c r="AP47" s="32"/>
      <c r="AQ47" s="33"/>
      <c r="AR47" s="40"/>
      <c r="AS47" s="43"/>
      <c r="AT47" s="36"/>
      <c r="AU47" s="56" t="str">
        <f>C47</f>
        <v>Plan 3 Niveles
 (363 Horas Reloj - Niveles A1, A2 y B1)</v>
      </c>
      <c r="AV47" s="32"/>
      <c r="AW47" s="32"/>
      <c r="AX47" s="32"/>
      <c r="AY47" s="32"/>
      <c r="AZ47" s="32"/>
      <c r="BA47" s="32"/>
      <c r="BB47" s="33"/>
      <c r="BC47" s="40"/>
      <c r="BD47" s="35"/>
    </row>
    <row r="48" ht="13.5" customHeight="1">
      <c r="A48" s="35"/>
      <c r="B48" s="36"/>
      <c r="C48" s="41" t="s">
        <v>26</v>
      </c>
      <c r="D48" s="41" t="s">
        <v>27</v>
      </c>
      <c r="E48" s="41" t="s">
        <v>28</v>
      </c>
      <c r="F48" s="37" t="s">
        <v>29</v>
      </c>
      <c r="G48" s="37" t="s">
        <v>30</v>
      </c>
      <c r="H48" s="41" t="s">
        <v>31</v>
      </c>
      <c r="I48" s="57" t="s">
        <v>32</v>
      </c>
      <c r="J48" s="39" t="s">
        <v>33</v>
      </c>
      <c r="K48" s="40"/>
      <c r="L48" s="35"/>
      <c r="M48" s="36"/>
      <c r="N48" s="41" t="s">
        <v>26</v>
      </c>
      <c r="O48" s="41" t="s">
        <v>27</v>
      </c>
      <c r="P48" s="41" t="s">
        <v>28</v>
      </c>
      <c r="Q48" s="37" t="s">
        <v>29</v>
      </c>
      <c r="R48" s="37" t="s">
        <v>30</v>
      </c>
      <c r="S48" s="41" t="s">
        <v>31</v>
      </c>
      <c r="T48" s="44" t="s">
        <v>32</v>
      </c>
      <c r="U48" s="39" t="s">
        <v>33</v>
      </c>
      <c r="V48" s="40"/>
      <c r="W48" s="43"/>
      <c r="X48" s="36"/>
      <c r="Y48" s="41" t="s">
        <v>26</v>
      </c>
      <c r="Z48" s="41" t="s">
        <v>27</v>
      </c>
      <c r="AA48" s="41" t="s">
        <v>28</v>
      </c>
      <c r="AB48" s="37" t="s">
        <v>29</v>
      </c>
      <c r="AC48" s="37" t="s">
        <v>30</v>
      </c>
      <c r="AD48" s="41" t="s">
        <v>31</v>
      </c>
      <c r="AE48" s="44" t="s">
        <v>32</v>
      </c>
      <c r="AF48" s="39" t="s">
        <v>33</v>
      </c>
      <c r="AG48" s="40"/>
      <c r="AH48" s="43"/>
      <c r="AI48" s="36"/>
      <c r="AJ48" s="41" t="s">
        <v>26</v>
      </c>
      <c r="AK48" s="41" t="s">
        <v>27</v>
      </c>
      <c r="AL48" s="41" t="s">
        <v>28</v>
      </c>
      <c r="AM48" s="37" t="s">
        <v>29</v>
      </c>
      <c r="AN48" s="37" t="s">
        <v>30</v>
      </c>
      <c r="AO48" s="41" t="s">
        <v>31</v>
      </c>
      <c r="AP48" s="57" t="s">
        <v>32</v>
      </c>
      <c r="AQ48" s="39" t="s">
        <v>33</v>
      </c>
      <c r="AR48" s="40"/>
      <c r="AS48" s="46"/>
      <c r="AT48" s="36"/>
      <c r="AU48" s="37" t="s">
        <v>26</v>
      </c>
      <c r="AV48" s="37" t="s">
        <v>27</v>
      </c>
      <c r="AW48" s="37" t="s">
        <v>28</v>
      </c>
      <c r="AX48" s="37" t="s">
        <v>29</v>
      </c>
      <c r="AY48" s="37" t="s">
        <v>30</v>
      </c>
      <c r="AZ48" s="37" t="s">
        <v>31</v>
      </c>
      <c r="BA48" s="38" t="s">
        <v>32</v>
      </c>
      <c r="BB48" s="39" t="s">
        <v>33</v>
      </c>
      <c r="BC48" s="40"/>
      <c r="BD48" s="43"/>
    </row>
    <row r="49" ht="13.5" customHeight="1">
      <c r="A49" s="35"/>
      <c r="B49" s="36"/>
      <c r="C49" s="47">
        <f>C8+C13+C18</f>
        <v>4384000</v>
      </c>
      <c r="D49" s="61">
        <v>1.0</v>
      </c>
      <c r="E49" s="49">
        <v>0.25</v>
      </c>
      <c r="F49" s="50">
        <f>H49</f>
        <v>3288000</v>
      </c>
      <c r="G49" s="50">
        <v>0.0</v>
      </c>
      <c r="H49" s="50">
        <f>C49-(C49*E49)</f>
        <v>3288000</v>
      </c>
      <c r="I49" s="58">
        <f>H49/J49</f>
        <v>9057.85124</v>
      </c>
      <c r="J49" s="48">
        <v>363.0</v>
      </c>
      <c r="K49" s="40"/>
      <c r="L49" s="35"/>
      <c r="M49" s="36"/>
      <c r="N49" s="47">
        <f>C49</f>
        <v>4384000</v>
      </c>
      <c r="O49" s="48">
        <v>1.0</v>
      </c>
      <c r="P49" s="49">
        <f>(N49-S49)/N49</f>
        <v>0.2875</v>
      </c>
      <c r="Q49" s="50">
        <f>S49</f>
        <v>3123600</v>
      </c>
      <c r="R49" s="50">
        <v>0.0</v>
      </c>
      <c r="S49" s="50">
        <f t="shared" ref="S49:S51" si="73">H49*0.95</f>
        <v>3123600</v>
      </c>
      <c r="T49" s="50">
        <f>S49/U49</f>
        <v>8604.958678</v>
      </c>
      <c r="U49" s="48">
        <v>363.0</v>
      </c>
      <c r="V49" s="40"/>
      <c r="W49" s="46"/>
      <c r="X49" s="36"/>
      <c r="Y49" s="47">
        <f>+C49</f>
        <v>4384000</v>
      </c>
      <c r="Z49" s="48">
        <v>1.0</v>
      </c>
      <c r="AA49" s="49">
        <f>(Y49-AD49)/Y49</f>
        <v>0.325</v>
      </c>
      <c r="AB49" s="50">
        <f>AD49</f>
        <v>2959200</v>
      </c>
      <c r="AC49" s="50">
        <v>0.0</v>
      </c>
      <c r="AD49" s="50">
        <f t="shared" ref="AD49:AD51" si="74">H49*0.9</f>
        <v>2959200</v>
      </c>
      <c r="AE49" s="50">
        <f>AD49/AF49</f>
        <v>8152.066116</v>
      </c>
      <c r="AF49" s="48">
        <v>363.0</v>
      </c>
      <c r="AG49" s="40"/>
      <c r="AH49" s="46"/>
      <c r="AI49" s="36"/>
      <c r="AJ49" s="47">
        <f>C49</f>
        <v>4384000</v>
      </c>
      <c r="AK49" s="48">
        <v>1.0</v>
      </c>
      <c r="AL49" s="49">
        <f>(AJ49-AO49)/AJ49</f>
        <v>0.3625</v>
      </c>
      <c r="AM49" s="50">
        <f>AO49</f>
        <v>2794800</v>
      </c>
      <c r="AN49" s="50">
        <v>0.0</v>
      </c>
      <c r="AO49" s="50">
        <f t="shared" ref="AO49:AO51" si="75">H49*0.85</f>
        <v>2794800</v>
      </c>
      <c r="AP49" s="58">
        <f>AO49/AQ49</f>
        <v>7699.173554</v>
      </c>
      <c r="AQ49" s="48">
        <v>363.0</v>
      </c>
      <c r="AR49" s="40"/>
      <c r="AS49" s="51"/>
      <c r="AT49" s="36"/>
      <c r="AU49" s="47">
        <f>C49</f>
        <v>4384000</v>
      </c>
      <c r="AV49" s="48">
        <v>1.0</v>
      </c>
      <c r="AW49" s="49">
        <f>(AU49-AZ49)/AU49</f>
        <v>0.4</v>
      </c>
      <c r="AX49" s="50">
        <f>AZ49</f>
        <v>2630400</v>
      </c>
      <c r="AY49" s="50">
        <v>0.0</v>
      </c>
      <c r="AZ49" s="50">
        <f t="shared" ref="AZ49:AZ51" si="76">H49*0.8</f>
        <v>2630400</v>
      </c>
      <c r="BA49" s="50">
        <f>AZ49/BB49</f>
        <v>7246.280992</v>
      </c>
      <c r="BB49" s="48">
        <v>363.0</v>
      </c>
      <c r="BC49" s="40"/>
      <c r="BD49" s="46"/>
    </row>
    <row r="50" ht="13.5" customHeight="1">
      <c r="A50" s="35"/>
      <c r="B50" s="36"/>
      <c r="C50" s="60"/>
      <c r="D50" s="48">
        <v>3.0</v>
      </c>
      <c r="E50" s="49">
        <v>0.2</v>
      </c>
      <c r="F50" s="53">
        <f t="shared" ref="F50:F51" si="77">H50/D50</f>
        <v>1169066.667</v>
      </c>
      <c r="G50" s="50">
        <f t="shared" ref="G50:G51" si="78">(H50-F50)/(D50-1)</f>
        <v>1169066.667</v>
      </c>
      <c r="H50" s="50">
        <f>C49-(C49*E50)</f>
        <v>3507200</v>
      </c>
      <c r="I50" s="58">
        <f>H50/J49</f>
        <v>9661.707989</v>
      </c>
      <c r="J50" s="54">
        <f>J49/D50</f>
        <v>121</v>
      </c>
      <c r="K50" s="40"/>
      <c r="L50" s="35"/>
      <c r="M50" s="36"/>
      <c r="N50" s="60"/>
      <c r="O50" s="48">
        <f t="shared" ref="O50:O51" si="79">D50</f>
        <v>3</v>
      </c>
      <c r="P50" s="49">
        <f>(N49-S50)/N49</f>
        <v>0.24</v>
      </c>
      <c r="Q50" s="53">
        <f t="shared" ref="Q50:Q51" si="80">F50-(F50*5%)</f>
        <v>1110613.333</v>
      </c>
      <c r="R50" s="50">
        <f t="shared" ref="R50:R51" si="81">(S50-Q50)/(O50-1)</f>
        <v>1110613.333</v>
      </c>
      <c r="S50" s="50">
        <f t="shared" si="73"/>
        <v>3331840</v>
      </c>
      <c r="T50" s="58">
        <f>S50/U49</f>
        <v>9178.62259</v>
      </c>
      <c r="U50" s="54">
        <f>U49/O50</f>
        <v>121</v>
      </c>
      <c r="V50" s="40"/>
      <c r="W50" s="46"/>
      <c r="X50" s="36"/>
      <c r="Y50" s="60"/>
      <c r="Z50" s="48">
        <f>D50</f>
        <v>3</v>
      </c>
      <c r="AA50" s="49">
        <f>(Y49-AD50)/Y49</f>
        <v>0.28</v>
      </c>
      <c r="AB50" s="53">
        <f t="shared" ref="AB50:AB51" si="82">F50-(F50*10%)</f>
        <v>1052160</v>
      </c>
      <c r="AC50" s="50">
        <f t="shared" ref="AC50:AC51" si="83">(AD50-AB50)/(Z50-1)</f>
        <v>1052160</v>
      </c>
      <c r="AD50" s="50">
        <f t="shared" si="74"/>
        <v>3156480</v>
      </c>
      <c r="AE50" s="58">
        <f>AD50/AF49</f>
        <v>8695.53719</v>
      </c>
      <c r="AF50" s="54">
        <f>AF49/Z50</f>
        <v>121</v>
      </c>
      <c r="AG50" s="40"/>
      <c r="AH50" s="46"/>
      <c r="AI50" s="36"/>
      <c r="AJ50" s="60"/>
      <c r="AK50" s="48">
        <f>D50</f>
        <v>3</v>
      </c>
      <c r="AL50" s="49">
        <f>(AJ49-AO50)/AJ49</f>
        <v>0.32</v>
      </c>
      <c r="AM50" s="53">
        <f t="shared" ref="AM50:AM51" si="84">F50-(F50*15%)</f>
        <v>993706.6667</v>
      </c>
      <c r="AN50" s="50">
        <f t="shared" ref="AN50:AN51" si="85">(AO50-AM50)/(AK50-1)</f>
        <v>993706.6667</v>
      </c>
      <c r="AO50" s="50">
        <f t="shared" si="75"/>
        <v>2981120</v>
      </c>
      <c r="AP50" s="58">
        <f>AO50/AQ49</f>
        <v>8212.451791</v>
      </c>
      <c r="AQ50" s="54">
        <f>AQ49/AK50</f>
        <v>121</v>
      </c>
      <c r="AR50" s="40"/>
      <c r="AS50" s="51"/>
      <c r="AT50" s="36"/>
      <c r="AU50" s="60"/>
      <c r="AV50" s="48">
        <f>D50</f>
        <v>3</v>
      </c>
      <c r="AW50" s="49">
        <f>(AU49-AZ50)/AU49</f>
        <v>0.36</v>
      </c>
      <c r="AX50" s="53">
        <f t="shared" ref="AX50:AX51" si="86">F50-(F50*20%)</f>
        <v>935253.3333</v>
      </c>
      <c r="AY50" s="50">
        <f t="shared" ref="AY50:AY51" si="87">(AZ50-AX50)/(AV50-1)</f>
        <v>935253.3333</v>
      </c>
      <c r="AZ50" s="50">
        <f t="shared" si="76"/>
        <v>2805760</v>
      </c>
      <c r="BA50" s="58">
        <f>AZ50/BB49</f>
        <v>7729.366391</v>
      </c>
      <c r="BB50" s="54">
        <f>BB49/AV50</f>
        <v>121</v>
      </c>
      <c r="BC50" s="40"/>
      <c r="BD50" s="46"/>
    </row>
    <row r="51" ht="13.5" customHeight="1">
      <c r="A51" s="35"/>
      <c r="B51" s="36"/>
      <c r="C51" s="52"/>
      <c r="D51" s="48">
        <v>12.0</v>
      </c>
      <c r="E51" s="49">
        <v>0.15</v>
      </c>
      <c r="F51" s="53">
        <f t="shared" si="77"/>
        <v>310533.3333</v>
      </c>
      <c r="G51" s="50">
        <f t="shared" si="78"/>
        <v>310533.3333</v>
      </c>
      <c r="H51" s="50">
        <f>C49-(C49*E51)</f>
        <v>3726400</v>
      </c>
      <c r="I51" s="58">
        <f>H51/J49</f>
        <v>10265.56474</v>
      </c>
      <c r="J51" s="54">
        <f>J49/D51</f>
        <v>30.25</v>
      </c>
      <c r="K51" s="40"/>
      <c r="L51" s="35"/>
      <c r="M51" s="36"/>
      <c r="N51" s="52"/>
      <c r="O51" s="48">
        <f t="shared" si="79"/>
        <v>12</v>
      </c>
      <c r="P51" s="49">
        <f>(N49-S51)/N49</f>
        <v>0.1925</v>
      </c>
      <c r="Q51" s="53">
        <f t="shared" si="80"/>
        <v>295006.6667</v>
      </c>
      <c r="R51" s="50">
        <f t="shared" si="81"/>
        <v>295006.6667</v>
      </c>
      <c r="S51" s="50">
        <f t="shared" si="73"/>
        <v>3540080</v>
      </c>
      <c r="T51" s="50">
        <f>S51/U49</f>
        <v>9752.286501</v>
      </c>
      <c r="U51" s="54">
        <f>U49/O51</f>
        <v>30.25</v>
      </c>
      <c r="V51" s="40"/>
      <c r="W51" s="51"/>
      <c r="X51" s="36"/>
      <c r="Y51" s="52"/>
      <c r="Z51" s="48">
        <f>+D51</f>
        <v>12</v>
      </c>
      <c r="AA51" s="49">
        <f>(Y49-AD51)/Y49</f>
        <v>0.235</v>
      </c>
      <c r="AB51" s="53">
        <f t="shared" si="82"/>
        <v>279480</v>
      </c>
      <c r="AC51" s="50">
        <f t="shared" si="83"/>
        <v>279480</v>
      </c>
      <c r="AD51" s="50">
        <f t="shared" si="74"/>
        <v>3353760</v>
      </c>
      <c r="AE51" s="50">
        <f>AD51/AF49</f>
        <v>9239.008264</v>
      </c>
      <c r="AF51" s="54">
        <f>AF49/Z51</f>
        <v>30.25</v>
      </c>
      <c r="AG51" s="40"/>
      <c r="AH51" s="51"/>
      <c r="AI51" s="36"/>
      <c r="AJ51" s="52"/>
      <c r="AK51" s="48">
        <f>+D51</f>
        <v>12</v>
      </c>
      <c r="AL51" s="49">
        <f>(AJ49-AO51)/AJ49</f>
        <v>0.2775</v>
      </c>
      <c r="AM51" s="53">
        <f t="shared" si="84"/>
        <v>263953.3333</v>
      </c>
      <c r="AN51" s="50">
        <f t="shared" si="85"/>
        <v>263953.3333</v>
      </c>
      <c r="AO51" s="50">
        <f t="shared" si="75"/>
        <v>3167440</v>
      </c>
      <c r="AP51" s="58">
        <f>AO51/AQ49</f>
        <v>8725.730028</v>
      </c>
      <c r="AQ51" s="54">
        <f>AQ49/AK51</f>
        <v>30.25</v>
      </c>
      <c r="AR51" s="40"/>
      <c r="AS51" s="59"/>
      <c r="AT51" s="36"/>
      <c r="AU51" s="52"/>
      <c r="AV51" s="48">
        <f>+D51</f>
        <v>12</v>
      </c>
      <c r="AW51" s="49">
        <f>(AU49-AZ51)/AU49</f>
        <v>0.32</v>
      </c>
      <c r="AX51" s="53">
        <f t="shared" si="86"/>
        <v>248426.6667</v>
      </c>
      <c r="AY51" s="50">
        <f t="shared" si="87"/>
        <v>248426.6667</v>
      </c>
      <c r="AZ51" s="50">
        <f t="shared" si="76"/>
        <v>2981120</v>
      </c>
      <c r="BA51" s="50">
        <f>AZ51/BB49</f>
        <v>8212.451791</v>
      </c>
      <c r="BB51" s="54">
        <f>BB49/AV51</f>
        <v>30.25</v>
      </c>
      <c r="BC51" s="40"/>
      <c r="BD51" s="51"/>
    </row>
    <row r="52" ht="13.5" customHeight="1">
      <c r="A52" s="35"/>
      <c r="B52" s="36"/>
      <c r="C52" s="35"/>
      <c r="D52" s="35"/>
      <c r="E52" s="35"/>
      <c r="F52" s="35"/>
      <c r="G52" s="35"/>
      <c r="H52" s="35"/>
      <c r="I52" s="51"/>
      <c r="J52" s="35"/>
      <c r="K52" s="40"/>
      <c r="L52" s="35"/>
      <c r="M52" s="36"/>
      <c r="N52" s="35"/>
      <c r="O52" s="35"/>
      <c r="P52" s="35"/>
      <c r="Q52" s="35"/>
      <c r="R52" s="35"/>
      <c r="S52" s="35"/>
      <c r="T52" s="35"/>
      <c r="U52" s="35"/>
      <c r="V52" s="40"/>
      <c r="W52" s="59"/>
      <c r="X52" s="36"/>
      <c r="Y52" s="35"/>
      <c r="Z52" s="35"/>
      <c r="AA52" s="35"/>
      <c r="AB52" s="35"/>
      <c r="AC52" s="35"/>
      <c r="AD52" s="35"/>
      <c r="AE52" s="35"/>
      <c r="AF52" s="35"/>
      <c r="AG52" s="40"/>
      <c r="AH52" s="59"/>
      <c r="AI52" s="36"/>
      <c r="AJ52" s="35"/>
      <c r="AK52" s="35"/>
      <c r="AL52" s="35"/>
      <c r="AM52" s="35"/>
      <c r="AN52" s="35"/>
      <c r="AO52" s="35"/>
      <c r="AP52" s="35"/>
      <c r="AQ52" s="35"/>
      <c r="AR52" s="40"/>
      <c r="AS52" s="35"/>
      <c r="AT52" s="36"/>
      <c r="AU52" s="35"/>
      <c r="AV52" s="35"/>
      <c r="AW52" s="35"/>
      <c r="AX52" s="35"/>
      <c r="AY52" s="35"/>
      <c r="AZ52" s="35"/>
      <c r="BA52" s="35"/>
      <c r="BB52" s="35"/>
      <c r="BC52" s="40"/>
      <c r="BD52" s="59"/>
    </row>
    <row r="53" ht="33.0" customHeight="1">
      <c r="A53" s="35"/>
      <c r="B53" s="36"/>
      <c r="C53" s="56" t="s">
        <v>41</v>
      </c>
      <c r="D53" s="32"/>
      <c r="E53" s="32"/>
      <c r="F53" s="32"/>
      <c r="G53" s="32"/>
      <c r="H53" s="32"/>
      <c r="I53" s="32"/>
      <c r="J53" s="33"/>
      <c r="K53" s="40"/>
      <c r="L53" s="35"/>
      <c r="M53" s="36"/>
      <c r="N53" s="56" t="str">
        <f>C53</f>
        <v>Plan 3 Niveles
 (432 Horas Reloj - Niveles A2, B1 y B2)</v>
      </c>
      <c r="O53" s="32"/>
      <c r="P53" s="32"/>
      <c r="Q53" s="32"/>
      <c r="R53" s="32"/>
      <c r="S53" s="32"/>
      <c r="T53" s="32"/>
      <c r="U53" s="33"/>
      <c r="V53" s="40"/>
      <c r="W53" s="35"/>
      <c r="X53" s="36"/>
      <c r="Y53" s="56" t="str">
        <f>C53</f>
        <v>Plan 3 Niveles
 (432 Horas Reloj - Niveles A2, B1 y B2)</v>
      </c>
      <c r="Z53" s="32"/>
      <c r="AA53" s="32"/>
      <c r="AB53" s="32"/>
      <c r="AC53" s="32"/>
      <c r="AD53" s="32"/>
      <c r="AE53" s="32"/>
      <c r="AF53" s="32"/>
      <c r="AG53" s="40"/>
      <c r="AH53" s="35"/>
      <c r="AI53" s="36"/>
      <c r="AJ53" s="56" t="str">
        <f>C53</f>
        <v>Plan 3 Niveles
 (432 Horas Reloj - Niveles A2, B1 y B2)</v>
      </c>
      <c r="AK53" s="32"/>
      <c r="AL53" s="32"/>
      <c r="AM53" s="32"/>
      <c r="AN53" s="32"/>
      <c r="AO53" s="32"/>
      <c r="AP53" s="32"/>
      <c r="AQ53" s="33"/>
      <c r="AR53" s="40"/>
      <c r="AS53" s="43"/>
      <c r="AT53" s="36"/>
      <c r="AU53" s="56" t="str">
        <f>C53</f>
        <v>Plan 3 Niveles
 (432 Horas Reloj - Niveles A2, B1 y B2)</v>
      </c>
      <c r="AV53" s="32"/>
      <c r="AW53" s="32"/>
      <c r="AX53" s="32"/>
      <c r="AY53" s="32"/>
      <c r="AZ53" s="32"/>
      <c r="BA53" s="32"/>
      <c r="BB53" s="33"/>
      <c r="BC53" s="40"/>
      <c r="BD53" s="35"/>
    </row>
    <row r="54" ht="13.5" customHeight="1">
      <c r="A54" s="35"/>
      <c r="B54" s="36"/>
      <c r="C54" s="41" t="s">
        <v>26</v>
      </c>
      <c r="D54" s="41" t="s">
        <v>27</v>
      </c>
      <c r="E54" s="41" t="s">
        <v>28</v>
      </c>
      <c r="F54" s="37" t="s">
        <v>29</v>
      </c>
      <c r="G54" s="37" t="s">
        <v>30</v>
      </c>
      <c r="H54" s="41" t="s">
        <v>31</v>
      </c>
      <c r="I54" s="57" t="s">
        <v>32</v>
      </c>
      <c r="J54" s="39" t="s">
        <v>33</v>
      </c>
      <c r="K54" s="40"/>
      <c r="L54" s="35"/>
      <c r="M54" s="36"/>
      <c r="N54" s="41" t="s">
        <v>26</v>
      </c>
      <c r="O54" s="41" t="s">
        <v>27</v>
      </c>
      <c r="P54" s="41" t="s">
        <v>28</v>
      </c>
      <c r="Q54" s="37" t="s">
        <v>29</v>
      </c>
      <c r="R54" s="37" t="s">
        <v>30</v>
      </c>
      <c r="S54" s="41" t="s">
        <v>31</v>
      </c>
      <c r="T54" s="44" t="s">
        <v>32</v>
      </c>
      <c r="U54" s="39" t="s">
        <v>33</v>
      </c>
      <c r="V54" s="40"/>
      <c r="W54" s="43"/>
      <c r="X54" s="36"/>
      <c r="Y54" s="41" t="s">
        <v>26</v>
      </c>
      <c r="Z54" s="41" t="s">
        <v>27</v>
      </c>
      <c r="AA54" s="41" t="s">
        <v>28</v>
      </c>
      <c r="AB54" s="37" t="s">
        <v>29</v>
      </c>
      <c r="AC54" s="37" t="s">
        <v>30</v>
      </c>
      <c r="AD54" s="41" t="s">
        <v>31</v>
      </c>
      <c r="AE54" s="44" t="s">
        <v>32</v>
      </c>
      <c r="AF54" s="39" t="s">
        <v>33</v>
      </c>
      <c r="AG54" s="40"/>
      <c r="AH54" s="43"/>
      <c r="AI54" s="36"/>
      <c r="AJ54" s="41" t="s">
        <v>26</v>
      </c>
      <c r="AK54" s="41" t="s">
        <v>27</v>
      </c>
      <c r="AL54" s="41" t="s">
        <v>28</v>
      </c>
      <c r="AM54" s="37" t="s">
        <v>29</v>
      </c>
      <c r="AN54" s="37" t="s">
        <v>30</v>
      </c>
      <c r="AO54" s="41" t="s">
        <v>31</v>
      </c>
      <c r="AP54" s="57" t="s">
        <v>32</v>
      </c>
      <c r="AQ54" s="39" t="s">
        <v>33</v>
      </c>
      <c r="AR54" s="40"/>
      <c r="AS54" s="46"/>
      <c r="AT54" s="36"/>
      <c r="AU54" s="37" t="s">
        <v>26</v>
      </c>
      <c r="AV54" s="37" t="s">
        <v>27</v>
      </c>
      <c r="AW54" s="37" t="s">
        <v>28</v>
      </c>
      <c r="AX54" s="37" t="s">
        <v>29</v>
      </c>
      <c r="AY54" s="37" t="s">
        <v>30</v>
      </c>
      <c r="AZ54" s="37" t="s">
        <v>31</v>
      </c>
      <c r="BA54" s="38" t="s">
        <v>32</v>
      </c>
      <c r="BB54" s="39" t="s">
        <v>33</v>
      </c>
      <c r="BC54" s="40"/>
      <c r="BD54" s="43"/>
    </row>
    <row r="55" ht="13.5" customHeight="1">
      <c r="A55" s="35"/>
      <c r="B55" s="36"/>
      <c r="C55" s="47">
        <f>C13+C18+C18</f>
        <v>5217000</v>
      </c>
      <c r="D55" s="48">
        <v>1.0</v>
      </c>
      <c r="E55" s="49">
        <v>0.25</v>
      </c>
      <c r="F55" s="50">
        <f>H55</f>
        <v>3912750</v>
      </c>
      <c r="G55" s="50">
        <v>0.0</v>
      </c>
      <c r="H55" s="50">
        <f>C55-(C55*E55)</f>
        <v>3912750</v>
      </c>
      <c r="I55" s="58">
        <f>H55/J55</f>
        <v>9057.291667</v>
      </c>
      <c r="J55" s="48">
        <v>432.0</v>
      </c>
      <c r="K55" s="40"/>
      <c r="L55" s="35"/>
      <c r="M55" s="36"/>
      <c r="N55" s="47">
        <f>C55</f>
        <v>5217000</v>
      </c>
      <c r="O55" s="48">
        <v>1.0</v>
      </c>
      <c r="P55" s="49">
        <f>(N55-S55)/N55</f>
        <v>0.2875</v>
      </c>
      <c r="Q55" s="50">
        <f>S55</f>
        <v>3717112.5</v>
      </c>
      <c r="R55" s="50">
        <v>0.0</v>
      </c>
      <c r="S55" s="50">
        <f t="shared" ref="S55:S57" si="88">H55*0.95</f>
        <v>3717112.5</v>
      </c>
      <c r="T55" s="50">
        <f>S55/U55</f>
        <v>8604.427083</v>
      </c>
      <c r="U55" s="48">
        <v>432.0</v>
      </c>
      <c r="V55" s="40"/>
      <c r="W55" s="46"/>
      <c r="X55" s="36"/>
      <c r="Y55" s="47">
        <f>SUM(Y13+Y18+Y18)</f>
        <v>5217000</v>
      </c>
      <c r="Z55" s="48">
        <v>1.0</v>
      </c>
      <c r="AA55" s="49">
        <f>(Y55-AD55)/Y55</f>
        <v>0.325</v>
      </c>
      <c r="AB55" s="50">
        <f>AD55</f>
        <v>3521475</v>
      </c>
      <c r="AC55" s="50">
        <v>0.0</v>
      </c>
      <c r="AD55" s="50">
        <f t="shared" ref="AD55:AD57" si="89">H55*0.9</f>
        <v>3521475</v>
      </c>
      <c r="AE55" s="50">
        <f>AD55/AF55</f>
        <v>8151.5625</v>
      </c>
      <c r="AF55" s="48">
        <v>432.0</v>
      </c>
      <c r="AG55" s="40"/>
      <c r="AH55" s="46"/>
      <c r="AI55" s="36"/>
      <c r="AJ55" s="47">
        <f>C55</f>
        <v>5217000</v>
      </c>
      <c r="AK55" s="48">
        <v>1.0</v>
      </c>
      <c r="AL55" s="49">
        <f>(AJ55-AO55)/AJ55</f>
        <v>0.3625</v>
      </c>
      <c r="AM55" s="50">
        <f>AO55</f>
        <v>3325837.5</v>
      </c>
      <c r="AN55" s="50">
        <v>0.0</v>
      </c>
      <c r="AO55" s="50">
        <f t="shared" ref="AO55:AO57" si="90">H55*0.85</f>
        <v>3325837.5</v>
      </c>
      <c r="AP55" s="58">
        <f>AO55/AQ55</f>
        <v>7698.697917</v>
      </c>
      <c r="AQ55" s="48">
        <v>432.0</v>
      </c>
      <c r="AR55" s="40"/>
      <c r="AS55" s="51"/>
      <c r="AT55" s="36"/>
      <c r="AU55" s="47">
        <f>SUM(AU13+AU18+AU18)</f>
        <v>5217000</v>
      </c>
      <c r="AV55" s="48">
        <v>1.0</v>
      </c>
      <c r="AW55" s="49">
        <f>(AU55-AZ55)/AU55</f>
        <v>0.4</v>
      </c>
      <c r="AX55" s="50">
        <f>AZ55</f>
        <v>3130200</v>
      </c>
      <c r="AY55" s="50">
        <v>0.0</v>
      </c>
      <c r="AZ55" s="50">
        <f t="shared" ref="AZ55:AZ57" si="91">H55*0.8</f>
        <v>3130200</v>
      </c>
      <c r="BA55" s="50">
        <f>AZ55/BB55</f>
        <v>7245.833333</v>
      </c>
      <c r="BB55" s="48">
        <v>432.0</v>
      </c>
      <c r="BC55" s="40"/>
      <c r="BD55" s="46"/>
    </row>
    <row r="56" ht="13.5" customHeight="1">
      <c r="A56" s="35"/>
      <c r="B56" s="36"/>
      <c r="C56" s="60"/>
      <c r="D56" s="48">
        <v>3.0</v>
      </c>
      <c r="E56" s="49">
        <v>0.2</v>
      </c>
      <c r="F56" s="53">
        <f t="shared" ref="F56:F57" si="92">H56/D56</f>
        <v>1391200</v>
      </c>
      <c r="G56" s="50">
        <f t="shared" ref="G56:G57" si="93">(H56-F56)/(D56-1)</f>
        <v>1391200</v>
      </c>
      <c r="H56" s="50">
        <f>C55-(C55*E56)</f>
        <v>4173600</v>
      </c>
      <c r="I56" s="58">
        <f>H56/J55</f>
        <v>9661.111111</v>
      </c>
      <c r="J56" s="54">
        <f>J55/D56</f>
        <v>144</v>
      </c>
      <c r="K56" s="40"/>
      <c r="L56" s="35"/>
      <c r="M56" s="36"/>
      <c r="N56" s="60"/>
      <c r="O56" s="48">
        <f t="shared" ref="O56:O57" si="94">D56</f>
        <v>3</v>
      </c>
      <c r="P56" s="49">
        <f>(N55-S56)/N55</f>
        <v>0.24</v>
      </c>
      <c r="Q56" s="53">
        <f t="shared" ref="Q56:Q57" si="95">F56-(F56*5%)</f>
        <v>1321640</v>
      </c>
      <c r="R56" s="50">
        <f t="shared" ref="R56:R57" si="96">(S56-Q56)/(O56-1)</f>
        <v>1321640</v>
      </c>
      <c r="S56" s="50">
        <f t="shared" si="88"/>
        <v>3964920</v>
      </c>
      <c r="T56" s="58">
        <f>S56/U55</f>
        <v>9178.055556</v>
      </c>
      <c r="U56" s="54">
        <f>U55/O56</f>
        <v>144</v>
      </c>
      <c r="V56" s="40"/>
      <c r="W56" s="46"/>
      <c r="X56" s="36"/>
      <c r="Y56" s="60"/>
      <c r="Z56" s="48">
        <f>D56</f>
        <v>3</v>
      </c>
      <c r="AA56" s="49">
        <f>(Y55-AD56)/Y55</f>
        <v>0.28</v>
      </c>
      <c r="AB56" s="53">
        <f t="shared" ref="AB56:AB57" si="97">F56-(F56*10%)</f>
        <v>1252080</v>
      </c>
      <c r="AC56" s="50">
        <f t="shared" ref="AC56:AC57" si="98">(AD56-AB56)/(Z56-1)</f>
        <v>1252080</v>
      </c>
      <c r="AD56" s="50">
        <f t="shared" si="89"/>
        <v>3756240</v>
      </c>
      <c r="AE56" s="58">
        <f>AD56/AF55</f>
        <v>8695</v>
      </c>
      <c r="AF56" s="54">
        <f>AF55/Z56</f>
        <v>144</v>
      </c>
      <c r="AG56" s="40"/>
      <c r="AH56" s="46"/>
      <c r="AI56" s="36"/>
      <c r="AJ56" s="60"/>
      <c r="AK56" s="48">
        <f>D56</f>
        <v>3</v>
      </c>
      <c r="AL56" s="49">
        <f>(AJ55-AO56)/AJ55</f>
        <v>0.32</v>
      </c>
      <c r="AM56" s="53">
        <f t="shared" ref="AM56:AM57" si="99">F56-(F56*15%)</f>
        <v>1182520</v>
      </c>
      <c r="AN56" s="50">
        <f t="shared" ref="AN56:AN57" si="100">(AO56-AM56)/(AK56-1)</f>
        <v>1182520</v>
      </c>
      <c r="AO56" s="50">
        <f t="shared" si="90"/>
        <v>3547560</v>
      </c>
      <c r="AP56" s="58">
        <f>AO56/AQ55</f>
        <v>8211.944444</v>
      </c>
      <c r="AQ56" s="54">
        <f>AQ55/AK56</f>
        <v>144</v>
      </c>
      <c r="AR56" s="40"/>
      <c r="AS56" s="51"/>
      <c r="AT56" s="36"/>
      <c r="AU56" s="60"/>
      <c r="AV56" s="48">
        <f>D56</f>
        <v>3</v>
      </c>
      <c r="AW56" s="49">
        <f>(AU55-AZ56)/AU55</f>
        <v>0.36</v>
      </c>
      <c r="AX56" s="53">
        <f t="shared" ref="AX56:AX57" si="101">F56-(F56*20%)</f>
        <v>1112960</v>
      </c>
      <c r="AY56" s="50">
        <f t="shared" ref="AY56:AY57" si="102">(AZ56-AX56)/(AV56-1)</f>
        <v>1112960</v>
      </c>
      <c r="AZ56" s="50">
        <f t="shared" si="91"/>
        <v>3338880</v>
      </c>
      <c r="BA56" s="58">
        <f>AZ56/BB55</f>
        <v>7728.888889</v>
      </c>
      <c r="BB56" s="54">
        <f>BB55/AV56</f>
        <v>144</v>
      </c>
      <c r="BC56" s="40"/>
      <c r="BD56" s="46"/>
    </row>
    <row r="57" ht="13.5" customHeight="1">
      <c r="A57" s="35"/>
      <c r="B57" s="36"/>
      <c r="C57" s="52"/>
      <c r="D57" s="48">
        <v>13.0</v>
      </c>
      <c r="E57" s="49">
        <v>0.15</v>
      </c>
      <c r="F57" s="53">
        <f t="shared" si="92"/>
        <v>341111.5385</v>
      </c>
      <c r="G57" s="50">
        <f t="shared" si="93"/>
        <v>341111.5385</v>
      </c>
      <c r="H57" s="50">
        <f>C55-(C55*E57)</f>
        <v>4434450</v>
      </c>
      <c r="I57" s="58">
        <f>H57/J55</f>
        <v>10264.93056</v>
      </c>
      <c r="J57" s="54">
        <f>J55/D57</f>
        <v>33.23076923</v>
      </c>
      <c r="K57" s="40"/>
      <c r="L57" s="35"/>
      <c r="M57" s="36"/>
      <c r="N57" s="52"/>
      <c r="O57" s="48">
        <f t="shared" si="94"/>
        <v>13</v>
      </c>
      <c r="P57" s="49">
        <f>(N55-S57)/N55</f>
        <v>0.1925</v>
      </c>
      <c r="Q57" s="53">
        <f t="shared" si="95"/>
        <v>324055.9615</v>
      </c>
      <c r="R57" s="50">
        <f t="shared" si="96"/>
        <v>324055.9615</v>
      </c>
      <c r="S57" s="50">
        <f t="shared" si="88"/>
        <v>4212727.5</v>
      </c>
      <c r="T57" s="50">
        <f>S57/U55</f>
        <v>9751.684028</v>
      </c>
      <c r="U57" s="54">
        <f>U55/O57</f>
        <v>33.23076923</v>
      </c>
      <c r="V57" s="40"/>
      <c r="W57" s="51"/>
      <c r="X57" s="36"/>
      <c r="Y57" s="52"/>
      <c r="Z57" s="48">
        <f>+D57</f>
        <v>13</v>
      </c>
      <c r="AA57" s="49">
        <f>(Y55-AD57)/Y55</f>
        <v>0.235</v>
      </c>
      <c r="AB57" s="53">
        <f t="shared" si="97"/>
        <v>307000.3846</v>
      </c>
      <c r="AC57" s="50">
        <f t="shared" si="98"/>
        <v>307000.3846</v>
      </c>
      <c r="AD57" s="50">
        <f t="shared" si="89"/>
        <v>3991005</v>
      </c>
      <c r="AE57" s="50">
        <f>AD57/AF55</f>
        <v>9238.4375</v>
      </c>
      <c r="AF57" s="54">
        <f>AF55/Z57</f>
        <v>33.23076923</v>
      </c>
      <c r="AG57" s="40"/>
      <c r="AH57" s="51"/>
      <c r="AI57" s="36"/>
      <c r="AJ57" s="52"/>
      <c r="AK57" s="48">
        <f>+D57</f>
        <v>13</v>
      </c>
      <c r="AL57" s="49">
        <f>(AJ55-AO57)/AJ55</f>
        <v>0.2775</v>
      </c>
      <c r="AM57" s="53">
        <f t="shared" si="99"/>
        <v>289944.8077</v>
      </c>
      <c r="AN57" s="50">
        <f t="shared" si="100"/>
        <v>289944.8077</v>
      </c>
      <c r="AO57" s="50">
        <f t="shared" si="90"/>
        <v>3769282.5</v>
      </c>
      <c r="AP57" s="58">
        <f>AO57/AQ55</f>
        <v>8725.190972</v>
      </c>
      <c r="AQ57" s="54">
        <f>AQ55/AK57</f>
        <v>33.23076923</v>
      </c>
      <c r="AR57" s="40"/>
      <c r="AS57" s="59"/>
      <c r="AT57" s="36"/>
      <c r="AU57" s="52"/>
      <c r="AV57" s="48">
        <f>+D57</f>
        <v>13</v>
      </c>
      <c r="AW57" s="49">
        <f>(AU55-AZ57)/AU55</f>
        <v>0.32</v>
      </c>
      <c r="AX57" s="53">
        <f t="shared" si="101"/>
        <v>272889.2308</v>
      </c>
      <c r="AY57" s="50">
        <f t="shared" si="102"/>
        <v>272889.2308</v>
      </c>
      <c r="AZ57" s="50">
        <f t="shared" si="91"/>
        <v>3547560</v>
      </c>
      <c r="BA57" s="50">
        <f>AZ57/BB55</f>
        <v>8211.944444</v>
      </c>
      <c r="BB57" s="54">
        <f>BB55/AV57</f>
        <v>33.23076923</v>
      </c>
      <c r="BC57" s="40"/>
      <c r="BD57" s="51"/>
    </row>
    <row r="58" ht="13.5" customHeight="1">
      <c r="A58" s="35"/>
      <c r="B58" s="36"/>
      <c r="C58" s="35"/>
      <c r="D58" s="35"/>
      <c r="E58" s="35"/>
      <c r="F58" s="35"/>
      <c r="G58" s="35"/>
      <c r="H58" s="35"/>
      <c r="I58" s="51"/>
      <c r="J58" s="35"/>
      <c r="K58" s="40"/>
      <c r="L58" s="35"/>
      <c r="M58" s="36"/>
      <c r="N58" s="35"/>
      <c r="O58" s="35"/>
      <c r="P58" s="35"/>
      <c r="Q58" s="35"/>
      <c r="R58" s="35"/>
      <c r="S58" s="35"/>
      <c r="T58" s="35"/>
      <c r="U58" s="35"/>
      <c r="V58" s="40"/>
      <c r="W58" s="59"/>
      <c r="X58" s="36"/>
      <c r="Y58" s="35"/>
      <c r="Z58" s="35"/>
      <c r="AA58" s="35"/>
      <c r="AB58" s="35"/>
      <c r="AC58" s="35"/>
      <c r="AD58" s="35"/>
      <c r="AE58" s="35"/>
      <c r="AF58" s="35"/>
      <c r="AG58" s="40"/>
      <c r="AH58" s="59"/>
      <c r="AI58" s="36"/>
      <c r="AJ58" s="35"/>
      <c r="AK58" s="35"/>
      <c r="AL58" s="35"/>
      <c r="AM58" s="35"/>
      <c r="AN58" s="35"/>
      <c r="AO58" s="35"/>
      <c r="AP58" s="35"/>
      <c r="AQ58" s="35"/>
      <c r="AR58" s="40"/>
      <c r="AS58" s="35"/>
      <c r="AT58" s="36"/>
      <c r="AU58" s="35"/>
      <c r="AV58" s="35"/>
      <c r="AW58" s="35"/>
      <c r="AX58" s="35"/>
      <c r="AY58" s="35"/>
      <c r="AZ58" s="35"/>
      <c r="BA58" s="35"/>
      <c r="BB58" s="35"/>
      <c r="BC58" s="40"/>
      <c r="BD58" s="59"/>
    </row>
    <row r="59" ht="33.0" customHeight="1">
      <c r="A59" s="35"/>
      <c r="B59" s="36"/>
      <c r="C59" s="56" t="s">
        <v>42</v>
      </c>
      <c r="D59" s="32"/>
      <c r="E59" s="32"/>
      <c r="F59" s="32"/>
      <c r="G59" s="32"/>
      <c r="H59" s="32"/>
      <c r="I59" s="32"/>
      <c r="J59" s="33"/>
      <c r="K59" s="40"/>
      <c r="L59" s="35"/>
      <c r="M59" s="36"/>
      <c r="N59" s="56" t="str">
        <f>C59</f>
        <v>Plan 3 Niveles
 (477 Horas Reloj - Niveles B1, B2 y C1)</v>
      </c>
      <c r="O59" s="32"/>
      <c r="P59" s="32"/>
      <c r="Q59" s="32"/>
      <c r="R59" s="32"/>
      <c r="S59" s="32"/>
      <c r="T59" s="32"/>
      <c r="U59" s="33"/>
      <c r="V59" s="40"/>
      <c r="W59" s="35"/>
      <c r="X59" s="36"/>
      <c r="Y59" s="56" t="str">
        <f>C59</f>
        <v>Plan 3 Niveles
 (477 Horas Reloj - Niveles B1, B2 y C1)</v>
      </c>
      <c r="Z59" s="32"/>
      <c r="AA59" s="32"/>
      <c r="AB59" s="32"/>
      <c r="AC59" s="32"/>
      <c r="AD59" s="32"/>
      <c r="AE59" s="32"/>
      <c r="AF59" s="32"/>
      <c r="AG59" s="40"/>
      <c r="AH59" s="35"/>
      <c r="AI59" s="36"/>
      <c r="AJ59" s="56" t="str">
        <f>C59</f>
        <v>Plan 3 Niveles
 (477 Horas Reloj - Niveles B1, B2 y C1)</v>
      </c>
      <c r="AK59" s="32"/>
      <c r="AL59" s="32"/>
      <c r="AM59" s="32"/>
      <c r="AN59" s="32"/>
      <c r="AO59" s="32"/>
      <c r="AP59" s="32"/>
      <c r="AQ59" s="33"/>
      <c r="AR59" s="40"/>
      <c r="AS59" s="43"/>
      <c r="AT59" s="36"/>
      <c r="AU59" s="56" t="str">
        <f>C59</f>
        <v>Plan 3 Niveles
 (477 Horas Reloj - Niveles B1, B2 y C1)</v>
      </c>
      <c r="AV59" s="32"/>
      <c r="AW59" s="32"/>
      <c r="AX59" s="32"/>
      <c r="AY59" s="32"/>
      <c r="AZ59" s="32"/>
      <c r="BA59" s="32"/>
      <c r="BB59" s="33"/>
      <c r="BC59" s="40"/>
      <c r="BD59" s="35"/>
    </row>
    <row r="60" ht="13.5" customHeight="1">
      <c r="A60" s="35"/>
      <c r="B60" s="36"/>
      <c r="C60" s="41" t="s">
        <v>26</v>
      </c>
      <c r="D60" s="41" t="s">
        <v>27</v>
      </c>
      <c r="E60" s="41" t="s">
        <v>28</v>
      </c>
      <c r="F60" s="37" t="s">
        <v>29</v>
      </c>
      <c r="G60" s="37" t="s">
        <v>30</v>
      </c>
      <c r="H60" s="41" t="s">
        <v>31</v>
      </c>
      <c r="I60" s="57" t="s">
        <v>32</v>
      </c>
      <c r="J60" s="39" t="s">
        <v>33</v>
      </c>
      <c r="K60" s="40"/>
      <c r="L60" s="35"/>
      <c r="M60" s="36"/>
      <c r="N60" s="41" t="s">
        <v>26</v>
      </c>
      <c r="O60" s="41" t="s">
        <v>27</v>
      </c>
      <c r="P60" s="41" t="s">
        <v>28</v>
      </c>
      <c r="Q60" s="37" t="s">
        <v>29</v>
      </c>
      <c r="R60" s="37" t="s">
        <v>30</v>
      </c>
      <c r="S60" s="41" t="s">
        <v>31</v>
      </c>
      <c r="T60" s="44" t="s">
        <v>32</v>
      </c>
      <c r="U60" s="39" t="s">
        <v>33</v>
      </c>
      <c r="V60" s="40"/>
      <c r="W60" s="43"/>
      <c r="X60" s="36"/>
      <c r="Y60" s="41" t="s">
        <v>26</v>
      </c>
      <c r="Z60" s="41" t="s">
        <v>27</v>
      </c>
      <c r="AA60" s="41" t="s">
        <v>28</v>
      </c>
      <c r="AB60" s="37" t="s">
        <v>29</v>
      </c>
      <c r="AC60" s="37" t="s">
        <v>30</v>
      </c>
      <c r="AD60" s="41" t="s">
        <v>31</v>
      </c>
      <c r="AE60" s="44" t="s">
        <v>32</v>
      </c>
      <c r="AF60" s="39" t="s">
        <v>33</v>
      </c>
      <c r="AG60" s="40"/>
      <c r="AH60" s="43"/>
      <c r="AI60" s="36"/>
      <c r="AJ60" s="41" t="s">
        <v>26</v>
      </c>
      <c r="AK60" s="41" t="s">
        <v>27</v>
      </c>
      <c r="AL60" s="41" t="s">
        <v>28</v>
      </c>
      <c r="AM60" s="37" t="s">
        <v>29</v>
      </c>
      <c r="AN60" s="37" t="s">
        <v>30</v>
      </c>
      <c r="AO60" s="41" t="s">
        <v>31</v>
      </c>
      <c r="AP60" s="57" t="s">
        <v>32</v>
      </c>
      <c r="AQ60" s="39" t="s">
        <v>33</v>
      </c>
      <c r="AR60" s="40"/>
      <c r="AS60" s="46"/>
      <c r="AT60" s="36"/>
      <c r="AU60" s="37" t="s">
        <v>26</v>
      </c>
      <c r="AV60" s="37" t="s">
        <v>27</v>
      </c>
      <c r="AW60" s="37" t="s">
        <v>28</v>
      </c>
      <c r="AX60" s="37" t="s">
        <v>29</v>
      </c>
      <c r="AY60" s="37" t="s">
        <v>30</v>
      </c>
      <c r="AZ60" s="37" t="s">
        <v>31</v>
      </c>
      <c r="BA60" s="38" t="s">
        <v>32</v>
      </c>
      <c r="BB60" s="39" t="s">
        <v>33</v>
      </c>
      <c r="BC60" s="40"/>
      <c r="BD60" s="43"/>
    </row>
    <row r="61" ht="13.5" customHeight="1">
      <c r="A61" s="35"/>
      <c r="B61" s="36"/>
      <c r="C61" s="47">
        <f>C18*3</f>
        <v>5760000</v>
      </c>
      <c r="D61" s="48">
        <v>1.0</v>
      </c>
      <c r="E61" s="49">
        <v>0.25</v>
      </c>
      <c r="F61" s="50">
        <f>H61</f>
        <v>4320000</v>
      </c>
      <c r="G61" s="50">
        <v>0.0</v>
      </c>
      <c r="H61" s="50">
        <f>C61-(C61*E61)</f>
        <v>4320000</v>
      </c>
      <c r="I61" s="58">
        <f>H61/J61</f>
        <v>9056.603774</v>
      </c>
      <c r="J61" s="48">
        <v>477.0</v>
      </c>
      <c r="K61" s="40"/>
      <c r="L61" s="35"/>
      <c r="M61" s="36"/>
      <c r="N61" s="47">
        <f>C61</f>
        <v>5760000</v>
      </c>
      <c r="O61" s="48">
        <v>1.0</v>
      </c>
      <c r="P61" s="49">
        <f>(N61-S61)/N61</f>
        <v>0.2875</v>
      </c>
      <c r="Q61" s="50">
        <f>S61</f>
        <v>4104000</v>
      </c>
      <c r="R61" s="50">
        <v>0.0</v>
      </c>
      <c r="S61" s="50">
        <f t="shared" ref="S61:S63" si="103">H61*0.95</f>
        <v>4104000</v>
      </c>
      <c r="T61" s="50">
        <f>S61/U61</f>
        <v>8603.773585</v>
      </c>
      <c r="U61" s="48">
        <v>477.0</v>
      </c>
      <c r="V61" s="40"/>
      <c r="W61" s="46"/>
      <c r="X61" s="36"/>
      <c r="Y61" s="47">
        <f>+C61</f>
        <v>5760000</v>
      </c>
      <c r="Z61" s="48">
        <v>1.0</v>
      </c>
      <c r="AA61" s="49">
        <f>(Y61-AD61)/Y61</f>
        <v>0.325</v>
      </c>
      <c r="AB61" s="50">
        <f>AD61</f>
        <v>3888000</v>
      </c>
      <c r="AC61" s="50">
        <v>0.0</v>
      </c>
      <c r="AD61" s="50">
        <f t="shared" ref="AD61:AD63" si="104">H61*0.9</f>
        <v>3888000</v>
      </c>
      <c r="AE61" s="50">
        <f>AD61/AF61</f>
        <v>8150.943396</v>
      </c>
      <c r="AF61" s="48">
        <v>477.0</v>
      </c>
      <c r="AG61" s="40"/>
      <c r="AH61" s="46"/>
      <c r="AI61" s="36"/>
      <c r="AJ61" s="47">
        <f>C61</f>
        <v>5760000</v>
      </c>
      <c r="AK61" s="48">
        <v>1.0</v>
      </c>
      <c r="AL61" s="49">
        <f>(AJ61-AO61)/AJ61</f>
        <v>0.3625</v>
      </c>
      <c r="AM61" s="50">
        <f>AO61</f>
        <v>3672000</v>
      </c>
      <c r="AN61" s="50">
        <v>0.0</v>
      </c>
      <c r="AO61" s="50">
        <f t="shared" ref="AO61:AO63" si="105">H61*0.85</f>
        <v>3672000</v>
      </c>
      <c r="AP61" s="58">
        <f>AO61/AQ61</f>
        <v>7698.113208</v>
      </c>
      <c r="AQ61" s="48">
        <v>477.0</v>
      </c>
      <c r="AR61" s="40"/>
      <c r="AS61" s="51"/>
      <c r="AT61" s="36"/>
      <c r="AU61" s="47">
        <f>C61</f>
        <v>5760000</v>
      </c>
      <c r="AV61" s="48">
        <v>1.0</v>
      </c>
      <c r="AW61" s="49">
        <f>(AU61-AZ61)/AU61</f>
        <v>0.4</v>
      </c>
      <c r="AX61" s="50">
        <f>AZ61</f>
        <v>3456000</v>
      </c>
      <c r="AY61" s="50">
        <v>0.0</v>
      </c>
      <c r="AZ61" s="50">
        <f t="shared" ref="AZ61:AZ63" si="106">H61*0.8</f>
        <v>3456000</v>
      </c>
      <c r="BA61" s="50">
        <f>AZ61/BB61</f>
        <v>7245.283019</v>
      </c>
      <c r="BB61" s="48">
        <v>477.0</v>
      </c>
      <c r="BC61" s="40"/>
      <c r="BD61" s="46"/>
    </row>
    <row r="62" ht="13.5" customHeight="1">
      <c r="A62" s="35"/>
      <c r="B62" s="36"/>
      <c r="C62" s="60"/>
      <c r="D62" s="48">
        <v>3.0</v>
      </c>
      <c r="E62" s="49">
        <v>0.2</v>
      </c>
      <c r="F62" s="53">
        <f t="shared" ref="F62:F63" si="107">H62/D62</f>
        <v>1536000</v>
      </c>
      <c r="G62" s="50">
        <f t="shared" ref="G62:G63" si="108">(H62-F62)/(D62-1)</f>
        <v>1536000</v>
      </c>
      <c r="H62" s="50">
        <f>C61-(C61*E62)</f>
        <v>4608000</v>
      </c>
      <c r="I62" s="58">
        <f>H62/J61</f>
        <v>9660.377358</v>
      </c>
      <c r="J62" s="54">
        <f>J61/D62</f>
        <v>159</v>
      </c>
      <c r="K62" s="40"/>
      <c r="L62" s="35"/>
      <c r="M62" s="36"/>
      <c r="N62" s="60"/>
      <c r="O62" s="48">
        <f t="shared" ref="O62:O63" si="109">D62</f>
        <v>3</v>
      </c>
      <c r="P62" s="49">
        <f>(N61-S62)/N61</f>
        <v>0.24</v>
      </c>
      <c r="Q62" s="53">
        <f t="shared" ref="Q62:Q63" si="110">F62-(F62*5%)</f>
        <v>1459200</v>
      </c>
      <c r="R62" s="50">
        <f t="shared" ref="R62:R63" si="111">(S62-Q62)/(O62-1)</f>
        <v>1459200</v>
      </c>
      <c r="S62" s="50">
        <f t="shared" si="103"/>
        <v>4377600</v>
      </c>
      <c r="T62" s="58">
        <f>S62/U61</f>
        <v>9177.358491</v>
      </c>
      <c r="U62" s="54">
        <f>U61/O62</f>
        <v>159</v>
      </c>
      <c r="V62" s="40"/>
      <c r="W62" s="46"/>
      <c r="X62" s="36"/>
      <c r="Y62" s="60"/>
      <c r="Z62" s="48">
        <f>D62</f>
        <v>3</v>
      </c>
      <c r="AA62" s="49">
        <f>(Y61-AD62)/Y61</f>
        <v>0.28</v>
      </c>
      <c r="AB62" s="53">
        <f t="shared" ref="AB62:AB63" si="112">F62-(F62*10%)</f>
        <v>1382400</v>
      </c>
      <c r="AC62" s="50">
        <f t="shared" ref="AC62:AC63" si="113">(AD62-AB62)/(Z62-1)</f>
        <v>1382400</v>
      </c>
      <c r="AD62" s="50">
        <f t="shared" si="104"/>
        <v>4147200</v>
      </c>
      <c r="AE62" s="58">
        <f>AD62/AF61</f>
        <v>8694.339623</v>
      </c>
      <c r="AF62" s="54">
        <f>AF61/Z62</f>
        <v>159</v>
      </c>
      <c r="AG62" s="40"/>
      <c r="AH62" s="46"/>
      <c r="AI62" s="36"/>
      <c r="AJ62" s="60"/>
      <c r="AK62" s="48">
        <f>D62</f>
        <v>3</v>
      </c>
      <c r="AL62" s="49">
        <f>(AJ61-AO62)/AJ61</f>
        <v>0.32</v>
      </c>
      <c r="AM62" s="53">
        <f t="shared" ref="AM62:AM63" si="114">F62-(F62*15%)</f>
        <v>1305600</v>
      </c>
      <c r="AN62" s="50">
        <f t="shared" ref="AN62:AN63" si="115">(AO62-AM62)/(AK62-1)</f>
        <v>1305600</v>
      </c>
      <c r="AO62" s="50">
        <f t="shared" si="105"/>
        <v>3916800</v>
      </c>
      <c r="AP62" s="58">
        <f>AO62/AQ61</f>
        <v>8211.320755</v>
      </c>
      <c r="AQ62" s="54">
        <f>AQ61/AK62</f>
        <v>159</v>
      </c>
      <c r="AR62" s="40"/>
      <c r="AS62" s="51"/>
      <c r="AT62" s="36"/>
      <c r="AU62" s="60"/>
      <c r="AV62" s="48">
        <f>D62</f>
        <v>3</v>
      </c>
      <c r="AW62" s="49">
        <f>(AU61-AZ62)/AU61</f>
        <v>0.36</v>
      </c>
      <c r="AX62" s="53">
        <f t="shared" ref="AX62:AX63" si="116">F62-(F62*20%)</f>
        <v>1228800</v>
      </c>
      <c r="AY62" s="50">
        <f t="shared" ref="AY62:AY63" si="117">(AZ62-AX62)/(AV62-1)</f>
        <v>1228800</v>
      </c>
      <c r="AZ62" s="50">
        <f t="shared" si="106"/>
        <v>3686400</v>
      </c>
      <c r="BA62" s="58">
        <f>AZ62/BB61</f>
        <v>7728.301887</v>
      </c>
      <c r="BB62" s="54">
        <f>BB61/AV62</f>
        <v>159</v>
      </c>
      <c r="BC62" s="40"/>
      <c r="BD62" s="46"/>
    </row>
    <row r="63" ht="13.5" customHeight="1">
      <c r="A63" s="35"/>
      <c r="B63" s="36"/>
      <c r="C63" s="52"/>
      <c r="D63" s="48">
        <v>13.0</v>
      </c>
      <c r="E63" s="49">
        <v>0.15</v>
      </c>
      <c r="F63" s="53">
        <f t="shared" si="107"/>
        <v>376615.3846</v>
      </c>
      <c r="G63" s="50">
        <f t="shared" si="108"/>
        <v>376615.3846</v>
      </c>
      <c r="H63" s="50">
        <f>C61-(C61*E63)</f>
        <v>4896000</v>
      </c>
      <c r="I63" s="58">
        <f>H63/J61</f>
        <v>10264.15094</v>
      </c>
      <c r="J63" s="54">
        <f>J61/D63</f>
        <v>36.69230769</v>
      </c>
      <c r="K63" s="40"/>
      <c r="L63" s="35"/>
      <c r="M63" s="36"/>
      <c r="N63" s="52"/>
      <c r="O63" s="48">
        <f t="shared" si="109"/>
        <v>13</v>
      </c>
      <c r="P63" s="49">
        <f>(N61-S63)/N61</f>
        <v>0.1925</v>
      </c>
      <c r="Q63" s="53">
        <f t="shared" si="110"/>
        <v>357784.6154</v>
      </c>
      <c r="R63" s="50">
        <f t="shared" si="111"/>
        <v>357784.6154</v>
      </c>
      <c r="S63" s="50">
        <f t="shared" si="103"/>
        <v>4651200</v>
      </c>
      <c r="T63" s="50">
        <f>S63/U61</f>
        <v>9750.943396</v>
      </c>
      <c r="U63" s="54">
        <f>U61/O63</f>
        <v>36.69230769</v>
      </c>
      <c r="V63" s="40"/>
      <c r="W63" s="51"/>
      <c r="X63" s="36"/>
      <c r="Y63" s="52"/>
      <c r="Z63" s="48">
        <f>+D63</f>
        <v>13</v>
      </c>
      <c r="AA63" s="49">
        <f>(Y61-AD63)/Y61</f>
        <v>0.235</v>
      </c>
      <c r="AB63" s="53">
        <f t="shared" si="112"/>
        <v>338953.8462</v>
      </c>
      <c r="AC63" s="50">
        <f t="shared" si="113"/>
        <v>338953.8462</v>
      </c>
      <c r="AD63" s="50">
        <f t="shared" si="104"/>
        <v>4406400</v>
      </c>
      <c r="AE63" s="50">
        <f>AD63/AF61</f>
        <v>9237.735849</v>
      </c>
      <c r="AF63" s="54">
        <f>AF61/Z63</f>
        <v>36.69230769</v>
      </c>
      <c r="AG63" s="40"/>
      <c r="AH63" s="51"/>
      <c r="AI63" s="36"/>
      <c r="AJ63" s="52"/>
      <c r="AK63" s="48">
        <f>+D63</f>
        <v>13</v>
      </c>
      <c r="AL63" s="49">
        <f>(AJ61-AO63)/AJ61</f>
        <v>0.2775</v>
      </c>
      <c r="AM63" s="53">
        <f t="shared" si="114"/>
        <v>320123.0769</v>
      </c>
      <c r="AN63" s="50">
        <f t="shared" si="115"/>
        <v>320123.0769</v>
      </c>
      <c r="AO63" s="50">
        <f t="shared" si="105"/>
        <v>4161600</v>
      </c>
      <c r="AP63" s="58">
        <f>AO63/AQ61</f>
        <v>8724.528302</v>
      </c>
      <c r="AQ63" s="54">
        <f>AQ61/AK63</f>
        <v>36.69230769</v>
      </c>
      <c r="AR63" s="40"/>
      <c r="AS63" s="59"/>
      <c r="AT63" s="36"/>
      <c r="AU63" s="52"/>
      <c r="AV63" s="48">
        <f>+D63</f>
        <v>13</v>
      </c>
      <c r="AW63" s="49">
        <f>(AU61-AZ63)/AU61</f>
        <v>0.32</v>
      </c>
      <c r="AX63" s="53">
        <f t="shared" si="116"/>
        <v>301292.3077</v>
      </c>
      <c r="AY63" s="50">
        <f t="shared" si="117"/>
        <v>301292.3077</v>
      </c>
      <c r="AZ63" s="50">
        <f t="shared" si="106"/>
        <v>3916800</v>
      </c>
      <c r="BA63" s="50">
        <f>AZ63/BB61</f>
        <v>8211.320755</v>
      </c>
      <c r="BB63" s="54">
        <f>BB61/AV63</f>
        <v>36.69230769</v>
      </c>
      <c r="BC63" s="40"/>
      <c r="BD63" s="51"/>
    </row>
    <row r="64" ht="13.5" customHeight="1">
      <c r="A64" s="10"/>
      <c r="B64" s="17"/>
      <c r="C64" s="10"/>
      <c r="D64" s="10"/>
      <c r="E64" s="10"/>
      <c r="F64" s="10"/>
      <c r="G64" s="10"/>
      <c r="H64" s="10"/>
      <c r="I64" s="12"/>
      <c r="J64" s="10"/>
      <c r="K64" s="21"/>
      <c r="L64" s="10"/>
      <c r="M64" s="17"/>
      <c r="N64" s="10"/>
      <c r="O64" s="10"/>
      <c r="P64" s="10"/>
      <c r="Q64" s="10"/>
      <c r="R64" s="10"/>
      <c r="S64" s="10"/>
      <c r="T64" s="10"/>
      <c r="U64" s="10"/>
      <c r="V64" s="21"/>
      <c r="W64" s="62"/>
      <c r="X64" s="17"/>
      <c r="Y64" s="10"/>
      <c r="Z64" s="10"/>
      <c r="AA64" s="10"/>
      <c r="AB64" s="10"/>
      <c r="AC64" s="10"/>
      <c r="AD64" s="10"/>
      <c r="AE64" s="10"/>
      <c r="AF64" s="10"/>
      <c r="AG64" s="21"/>
      <c r="AH64" s="62"/>
      <c r="AI64" s="17"/>
      <c r="AJ64" s="10"/>
      <c r="AK64" s="10"/>
      <c r="AL64" s="10"/>
      <c r="AM64" s="10"/>
      <c r="AN64" s="10"/>
      <c r="AO64" s="10"/>
      <c r="AP64" s="10"/>
      <c r="AQ64" s="10"/>
      <c r="AR64" s="21"/>
      <c r="AS64" s="10"/>
      <c r="AT64" s="17"/>
      <c r="AU64" s="10"/>
      <c r="AV64" s="10"/>
      <c r="AW64" s="10"/>
      <c r="AX64" s="10"/>
      <c r="AY64" s="10"/>
      <c r="AZ64" s="10"/>
      <c r="BA64" s="10"/>
      <c r="BB64" s="10"/>
      <c r="BC64" s="21"/>
      <c r="BD64" s="62"/>
    </row>
    <row r="65" ht="35.25" customHeight="1">
      <c r="A65" s="10"/>
      <c r="B65" s="17"/>
      <c r="C65" s="63" t="s">
        <v>43</v>
      </c>
      <c r="D65" s="32"/>
      <c r="E65" s="32"/>
      <c r="F65" s="32"/>
      <c r="G65" s="32"/>
      <c r="H65" s="32"/>
      <c r="I65" s="32"/>
      <c r="J65" s="33"/>
      <c r="K65" s="21"/>
      <c r="L65" s="10"/>
      <c r="M65" s="17"/>
      <c r="N65" s="63" t="str">
        <f>C65</f>
        <v>Plan 4 Niveles
 (522 Horas Reloj Niveles A1, A2 , B1 y B2)</v>
      </c>
      <c r="O65" s="32"/>
      <c r="P65" s="32"/>
      <c r="Q65" s="32"/>
      <c r="R65" s="32"/>
      <c r="S65" s="32"/>
      <c r="T65" s="32"/>
      <c r="U65" s="33"/>
      <c r="V65" s="21"/>
      <c r="W65" s="10"/>
      <c r="X65" s="17"/>
      <c r="Y65" s="63" t="str">
        <f>C65</f>
        <v>Plan 4 Niveles
 (522 Horas Reloj Niveles A1, A2 , B1 y B2)</v>
      </c>
      <c r="Z65" s="32"/>
      <c r="AA65" s="32"/>
      <c r="AB65" s="32"/>
      <c r="AC65" s="32"/>
      <c r="AD65" s="32"/>
      <c r="AE65" s="32"/>
      <c r="AF65" s="32"/>
      <c r="AG65" s="21"/>
      <c r="AH65" s="10"/>
      <c r="AI65" s="17"/>
      <c r="AJ65" s="64" t="str">
        <f>C65</f>
        <v>Plan 4 Niveles
 (522 Horas Reloj Niveles A1, A2 , B1 y B2)</v>
      </c>
      <c r="AK65" s="32"/>
      <c r="AL65" s="32"/>
      <c r="AM65" s="32"/>
      <c r="AN65" s="32"/>
      <c r="AO65" s="32"/>
      <c r="AP65" s="32"/>
      <c r="AQ65" s="33"/>
      <c r="AR65" s="21"/>
      <c r="AS65" s="34"/>
      <c r="AT65" s="17"/>
      <c r="AU65" s="31" t="str">
        <f>C65</f>
        <v>Plan 4 Niveles
 (522 Horas Reloj Niveles A1, A2 , B1 y B2)</v>
      </c>
      <c r="AV65" s="32"/>
      <c r="AW65" s="32"/>
      <c r="AX65" s="32"/>
      <c r="AY65" s="32"/>
      <c r="AZ65" s="32"/>
      <c r="BA65" s="32"/>
      <c r="BB65" s="33"/>
      <c r="BC65" s="21"/>
      <c r="BD65" s="10"/>
    </row>
    <row r="66" ht="13.5" customHeight="1">
      <c r="A66" s="10"/>
      <c r="B66" s="17"/>
      <c r="C66" s="65" t="s">
        <v>26</v>
      </c>
      <c r="D66" s="66" t="s">
        <v>27</v>
      </c>
      <c r="E66" s="66" t="s">
        <v>28</v>
      </c>
      <c r="F66" s="67" t="s">
        <v>29</v>
      </c>
      <c r="G66" s="67" t="s">
        <v>30</v>
      </c>
      <c r="H66" s="66" t="s">
        <v>31</v>
      </c>
      <c r="I66" s="68" t="s">
        <v>32</v>
      </c>
      <c r="J66" s="69" t="s">
        <v>33</v>
      </c>
      <c r="K66" s="21"/>
      <c r="L66" s="10"/>
      <c r="M66" s="17"/>
      <c r="N66" s="65" t="s">
        <v>26</v>
      </c>
      <c r="O66" s="66" t="s">
        <v>27</v>
      </c>
      <c r="P66" s="66" t="s">
        <v>28</v>
      </c>
      <c r="Q66" s="67" t="s">
        <v>29</v>
      </c>
      <c r="R66" s="67" t="s">
        <v>30</v>
      </c>
      <c r="S66" s="66" t="s">
        <v>31</v>
      </c>
      <c r="T66" s="70" t="s">
        <v>32</v>
      </c>
      <c r="U66" s="69" t="s">
        <v>33</v>
      </c>
      <c r="V66" s="21"/>
      <c r="W66" s="34"/>
      <c r="X66" s="17"/>
      <c r="Y66" s="65" t="s">
        <v>26</v>
      </c>
      <c r="Z66" s="66" t="s">
        <v>27</v>
      </c>
      <c r="AA66" s="66" t="s">
        <v>28</v>
      </c>
      <c r="AB66" s="67" t="s">
        <v>29</v>
      </c>
      <c r="AC66" s="67" t="s">
        <v>30</v>
      </c>
      <c r="AD66" s="66" t="s">
        <v>31</v>
      </c>
      <c r="AE66" s="70" t="s">
        <v>32</v>
      </c>
      <c r="AF66" s="69" t="s">
        <v>33</v>
      </c>
      <c r="AG66" s="21"/>
      <c r="AH66" s="34"/>
      <c r="AI66" s="17"/>
      <c r="AJ66" s="65" t="s">
        <v>26</v>
      </c>
      <c r="AK66" s="66" t="s">
        <v>27</v>
      </c>
      <c r="AL66" s="66" t="s">
        <v>28</v>
      </c>
      <c r="AM66" s="67" t="s">
        <v>29</v>
      </c>
      <c r="AN66" s="67" t="s">
        <v>30</v>
      </c>
      <c r="AO66" s="66" t="s">
        <v>31</v>
      </c>
      <c r="AP66" s="68" t="s">
        <v>32</v>
      </c>
      <c r="AQ66" s="69" t="s">
        <v>33</v>
      </c>
      <c r="AR66" s="21"/>
      <c r="AS66" s="71"/>
      <c r="AT66" s="17"/>
      <c r="AU66" s="65" t="s">
        <v>26</v>
      </c>
      <c r="AV66" s="67" t="s">
        <v>27</v>
      </c>
      <c r="AW66" s="67" t="s">
        <v>28</v>
      </c>
      <c r="AX66" s="67" t="s">
        <v>29</v>
      </c>
      <c r="AY66" s="67" t="s">
        <v>30</v>
      </c>
      <c r="AZ66" s="67" t="s">
        <v>31</v>
      </c>
      <c r="BA66" s="72" t="s">
        <v>32</v>
      </c>
      <c r="BB66" s="69" t="s">
        <v>33</v>
      </c>
      <c r="BC66" s="21"/>
      <c r="BD66" s="34"/>
    </row>
    <row r="67" ht="13.5" customHeight="1">
      <c r="A67" s="10"/>
      <c r="B67" s="17"/>
      <c r="C67" s="73">
        <f>C8+C13+C18+C18</f>
        <v>6304000</v>
      </c>
      <c r="D67" s="74">
        <v>1.0</v>
      </c>
      <c r="E67" s="75">
        <v>0.35</v>
      </c>
      <c r="F67" s="76">
        <f>H67</f>
        <v>4097600</v>
      </c>
      <c r="G67" s="76">
        <v>0.0</v>
      </c>
      <c r="H67" s="76">
        <f>C67-(C67*E67)</f>
        <v>4097600</v>
      </c>
      <c r="I67" s="77">
        <f>H67/J67</f>
        <v>7849.808429</v>
      </c>
      <c r="J67" s="74">
        <v>522.0</v>
      </c>
      <c r="K67" s="21"/>
      <c r="L67" s="10"/>
      <c r="M67" s="17"/>
      <c r="N67" s="73">
        <f>C67</f>
        <v>6304000</v>
      </c>
      <c r="O67" s="74">
        <v>1.0</v>
      </c>
      <c r="P67" s="78">
        <f>(N67-S67)/N67</f>
        <v>0.3825</v>
      </c>
      <c r="Q67" s="76">
        <f>S67</f>
        <v>3892720</v>
      </c>
      <c r="R67" s="76">
        <v>0.0</v>
      </c>
      <c r="S67" s="76">
        <f t="shared" ref="S67:S69" si="118">H67*0.95</f>
        <v>3892720</v>
      </c>
      <c r="T67" s="76">
        <f>S67/U67</f>
        <v>7457.318008</v>
      </c>
      <c r="U67" s="74">
        <v>522.0</v>
      </c>
      <c r="V67" s="21"/>
      <c r="W67" s="71"/>
      <c r="X67" s="17"/>
      <c r="Y67" s="73">
        <f>C67</f>
        <v>6304000</v>
      </c>
      <c r="Z67" s="74">
        <v>1.0</v>
      </c>
      <c r="AA67" s="78">
        <f>(Y67-AD67)/Y67</f>
        <v>0.415</v>
      </c>
      <c r="AB67" s="76">
        <f>AD67</f>
        <v>3687840</v>
      </c>
      <c r="AC67" s="76">
        <v>0.0</v>
      </c>
      <c r="AD67" s="76">
        <f t="shared" ref="AD67:AD69" si="119">H67*0.9</f>
        <v>3687840</v>
      </c>
      <c r="AE67" s="76">
        <f>AD67/AF67</f>
        <v>7064.827586</v>
      </c>
      <c r="AF67" s="74">
        <v>522.0</v>
      </c>
      <c r="AG67" s="21"/>
      <c r="AH67" s="71"/>
      <c r="AI67" s="17"/>
      <c r="AJ67" s="73">
        <f>C67</f>
        <v>6304000</v>
      </c>
      <c r="AK67" s="74">
        <v>1.0</v>
      </c>
      <c r="AL67" s="78">
        <f>(AJ67-AO67)/AJ67</f>
        <v>0.4475</v>
      </c>
      <c r="AM67" s="76">
        <f>AO67</f>
        <v>3482960</v>
      </c>
      <c r="AN67" s="76">
        <v>0.0</v>
      </c>
      <c r="AO67" s="76">
        <f t="shared" ref="AO67:AO69" si="120">H67*0.85</f>
        <v>3482960</v>
      </c>
      <c r="AP67" s="77">
        <f>AO67/AQ67</f>
        <v>6672.337165</v>
      </c>
      <c r="AQ67" s="74">
        <v>522.0</v>
      </c>
      <c r="AR67" s="21"/>
      <c r="AS67" s="12"/>
      <c r="AT67" s="17"/>
      <c r="AU67" s="73">
        <f>C67</f>
        <v>6304000</v>
      </c>
      <c r="AV67" s="74">
        <v>1.0</v>
      </c>
      <c r="AW67" s="78">
        <f>(AU67-AZ67)/AU67</f>
        <v>0.48</v>
      </c>
      <c r="AX67" s="76">
        <f>AZ67</f>
        <v>3278080</v>
      </c>
      <c r="AY67" s="76">
        <v>0.0</v>
      </c>
      <c r="AZ67" s="76">
        <f t="shared" ref="AZ67:AZ69" si="121">H67*0.8</f>
        <v>3278080</v>
      </c>
      <c r="BA67" s="76">
        <f>AZ67/BB67</f>
        <v>6279.846743</v>
      </c>
      <c r="BB67" s="74">
        <v>522.0</v>
      </c>
      <c r="BC67" s="21"/>
      <c r="BD67" s="71"/>
    </row>
    <row r="68" ht="13.5" customHeight="1">
      <c r="A68" s="10"/>
      <c r="B68" s="17"/>
      <c r="C68" s="60"/>
      <c r="D68" s="74">
        <v>4.0</v>
      </c>
      <c r="E68" s="75">
        <v>0.3</v>
      </c>
      <c r="F68" s="79">
        <f t="shared" ref="F68:F69" si="122">H68/D68</f>
        <v>1103200</v>
      </c>
      <c r="G68" s="76">
        <f t="shared" ref="G68:G69" si="123">(H68-F68)/(D68-1)</f>
        <v>1103200</v>
      </c>
      <c r="H68" s="76">
        <f>C67-(C67*E68)</f>
        <v>4412800</v>
      </c>
      <c r="I68" s="77">
        <f>H68/J67</f>
        <v>8453.639847</v>
      </c>
      <c r="J68" s="80">
        <f>J67/D68</f>
        <v>130.5</v>
      </c>
      <c r="K68" s="21"/>
      <c r="L68" s="10"/>
      <c r="M68" s="17"/>
      <c r="N68" s="60"/>
      <c r="O68" s="74">
        <f t="shared" ref="O68:O69" si="124">D68</f>
        <v>4</v>
      </c>
      <c r="P68" s="78">
        <f>(N67-S68)/N67</f>
        <v>0.335</v>
      </c>
      <c r="Q68" s="79">
        <f t="shared" ref="Q68:Q69" si="125">F68-(F68*5%)</f>
        <v>1048040</v>
      </c>
      <c r="R68" s="76">
        <f t="shared" ref="R68:R69" si="126">(S68-Q68)/(O68-1)</f>
        <v>1048040</v>
      </c>
      <c r="S68" s="76">
        <f t="shared" si="118"/>
        <v>4192160</v>
      </c>
      <c r="T68" s="77">
        <f>S68/U67</f>
        <v>8030.957854</v>
      </c>
      <c r="U68" s="80">
        <f>U67/O68</f>
        <v>130.5</v>
      </c>
      <c r="V68" s="21"/>
      <c r="W68" s="71"/>
      <c r="X68" s="17"/>
      <c r="Y68" s="60"/>
      <c r="Z68" s="74">
        <f>D68</f>
        <v>4</v>
      </c>
      <c r="AA68" s="78">
        <f>(Y67-AD68)/Y67</f>
        <v>0.37</v>
      </c>
      <c r="AB68" s="79">
        <f t="shared" ref="AB68:AB69" si="127">F68-(F68*10%)</f>
        <v>992880</v>
      </c>
      <c r="AC68" s="76">
        <f t="shared" ref="AC68:AC69" si="128">(AD68-AB68)/(Z68-1)</f>
        <v>992880</v>
      </c>
      <c r="AD68" s="76">
        <f t="shared" si="119"/>
        <v>3971520</v>
      </c>
      <c r="AE68" s="77">
        <f>AD68/AF67</f>
        <v>7608.275862</v>
      </c>
      <c r="AF68" s="80">
        <f>AF67/Z68</f>
        <v>130.5</v>
      </c>
      <c r="AG68" s="21"/>
      <c r="AH68" s="71"/>
      <c r="AI68" s="17"/>
      <c r="AJ68" s="60"/>
      <c r="AK68" s="74">
        <f>D68</f>
        <v>4</v>
      </c>
      <c r="AL68" s="78">
        <f>(AJ67-AO68)/AJ67</f>
        <v>0.405</v>
      </c>
      <c r="AM68" s="79">
        <f t="shared" ref="AM68:AM69" si="129">F68-(F68*15%)</f>
        <v>937720</v>
      </c>
      <c r="AN68" s="76">
        <f t="shared" ref="AN68:AN69" si="130">(AO68-AM68)/(AK68-1)</f>
        <v>937720</v>
      </c>
      <c r="AO68" s="76">
        <f t="shared" si="120"/>
        <v>3750880</v>
      </c>
      <c r="AP68" s="77">
        <f>AO68/AQ67</f>
        <v>7185.59387</v>
      </c>
      <c r="AQ68" s="80">
        <f>AQ67/AK68</f>
        <v>130.5</v>
      </c>
      <c r="AR68" s="21"/>
      <c r="AS68" s="12"/>
      <c r="AT68" s="17"/>
      <c r="AU68" s="60"/>
      <c r="AV68" s="74">
        <f>D68</f>
        <v>4</v>
      </c>
      <c r="AW68" s="78">
        <f>(AU67-AZ68)/AU67</f>
        <v>0.44</v>
      </c>
      <c r="AX68" s="79">
        <f t="shared" ref="AX68:AX69" si="131">F68-(F68*20%)</f>
        <v>882560</v>
      </c>
      <c r="AY68" s="76">
        <f t="shared" ref="AY68:AY69" si="132">(AZ68-AX68)/(AV68-1)</f>
        <v>882560</v>
      </c>
      <c r="AZ68" s="76">
        <f t="shared" si="121"/>
        <v>3530240</v>
      </c>
      <c r="BA68" s="77">
        <f>AZ68/BB67</f>
        <v>6762.911877</v>
      </c>
      <c r="BB68" s="80">
        <f>BB67/AV68</f>
        <v>130.5</v>
      </c>
      <c r="BC68" s="21"/>
      <c r="BD68" s="71"/>
    </row>
    <row r="69" ht="13.5" customHeight="1">
      <c r="A69" s="10"/>
      <c r="B69" s="17"/>
      <c r="C69" s="52"/>
      <c r="D69" s="74">
        <v>15.0</v>
      </c>
      <c r="E69" s="75">
        <v>0.25</v>
      </c>
      <c r="F69" s="79">
        <f t="shared" si="122"/>
        <v>315200</v>
      </c>
      <c r="G69" s="76">
        <f t="shared" si="123"/>
        <v>315200</v>
      </c>
      <c r="H69" s="76">
        <f>C67-(C67*E69)</f>
        <v>4728000</v>
      </c>
      <c r="I69" s="77">
        <f>H69/J67</f>
        <v>9057.471264</v>
      </c>
      <c r="J69" s="80">
        <f>J67/D69</f>
        <v>34.8</v>
      </c>
      <c r="K69" s="21"/>
      <c r="L69" s="10"/>
      <c r="M69" s="17"/>
      <c r="N69" s="52"/>
      <c r="O69" s="74">
        <f t="shared" si="124"/>
        <v>15</v>
      </c>
      <c r="P69" s="78">
        <f>(N67-S69)/N67</f>
        <v>0.2875</v>
      </c>
      <c r="Q69" s="79">
        <f t="shared" si="125"/>
        <v>299440</v>
      </c>
      <c r="R69" s="76">
        <f t="shared" si="126"/>
        <v>299440</v>
      </c>
      <c r="S69" s="76">
        <f t="shared" si="118"/>
        <v>4491600</v>
      </c>
      <c r="T69" s="76">
        <f>S69/U67</f>
        <v>8604.597701</v>
      </c>
      <c r="U69" s="80">
        <f>U67/O69</f>
        <v>34.8</v>
      </c>
      <c r="V69" s="21"/>
      <c r="W69" s="12"/>
      <c r="X69" s="17"/>
      <c r="Y69" s="52"/>
      <c r="Z69" s="74">
        <f>+D69</f>
        <v>15</v>
      </c>
      <c r="AA69" s="78">
        <f>(Y67-AD69)/Y67</f>
        <v>0.325</v>
      </c>
      <c r="AB69" s="53">
        <f t="shared" si="127"/>
        <v>283680</v>
      </c>
      <c r="AC69" s="76">
        <f t="shared" si="128"/>
        <v>283680</v>
      </c>
      <c r="AD69" s="76">
        <f t="shared" si="119"/>
        <v>4255200</v>
      </c>
      <c r="AE69" s="76">
        <f>AD69/AF67</f>
        <v>8151.724138</v>
      </c>
      <c r="AF69" s="80">
        <f>AF67/Z69</f>
        <v>34.8</v>
      </c>
      <c r="AG69" s="21"/>
      <c r="AH69" s="12"/>
      <c r="AI69" s="17"/>
      <c r="AJ69" s="52"/>
      <c r="AK69" s="74">
        <f>+D69</f>
        <v>15</v>
      </c>
      <c r="AL69" s="75">
        <f>(AJ67-AO69)/AJ67</f>
        <v>0.3625</v>
      </c>
      <c r="AM69" s="79">
        <f t="shared" si="129"/>
        <v>267920</v>
      </c>
      <c r="AN69" s="76">
        <f t="shared" si="130"/>
        <v>267920</v>
      </c>
      <c r="AO69" s="76">
        <f t="shared" si="120"/>
        <v>4018800</v>
      </c>
      <c r="AP69" s="77">
        <f>AO69/AQ67</f>
        <v>7698.850575</v>
      </c>
      <c r="AQ69" s="80">
        <f>AQ67/AK69</f>
        <v>34.8</v>
      </c>
      <c r="AR69" s="21"/>
      <c r="AS69" s="62"/>
      <c r="AT69" s="17"/>
      <c r="AU69" s="52"/>
      <c r="AV69" s="74">
        <f>+D69</f>
        <v>15</v>
      </c>
      <c r="AW69" s="75">
        <f>(AU67-AZ69)/AU67</f>
        <v>0.4</v>
      </c>
      <c r="AX69" s="79">
        <f t="shared" si="131"/>
        <v>252160</v>
      </c>
      <c r="AY69" s="76">
        <f t="shared" si="132"/>
        <v>252160</v>
      </c>
      <c r="AZ69" s="76">
        <f t="shared" si="121"/>
        <v>3782400</v>
      </c>
      <c r="BA69" s="76">
        <f>AZ69/BB67</f>
        <v>7245.977011</v>
      </c>
      <c r="BB69" s="80">
        <f>BB67/AV69</f>
        <v>34.8</v>
      </c>
      <c r="BC69" s="21"/>
      <c r="BD69" s="12"/>
    </row>
    <row r="70" ht="13.5" customHeight="1">
      <c r="A70" s="10"/>
      <c r="B70" s="17"/>
      <c r="C70" s="10"/>
      <c r="D70" s="10"/>
      <c r="E70" s="10"/>
      <c r="F70" s="10"/>
      <c r="G70" s="10"/>
      <c r="H70" s="10"/>
      <c r="I70" s="12"/>
      <c r="J70" s="10"/>
      <c r="K70" s="21"/>
      <c r="L70" s="10"/>
      <c r="M70" s="17"/>
      <c r="N70" s="10"/>
      <c r="O70" s="10"/>
      <c r="P70" s="10"/>
      <c r="Q70" s="10"/>
      <c r="R70" s="10"/>
      <c r="S70" s="10"/>
      <c r="T70" s="10"/>
      <c r="U70" s="10"/>
      <c r="V70" s="21"/>
      <c r="W70" s="10"/>
      <c r="X70" s="17"/>
      <c r="Y70" s="10"/>
      <c r="Z70" s="10"/>
      <c r="AA70" s="10"/>
      <c r="AB70" s="10"/>
      <c r="AC70" s="10"/>
      <c r="AD70" s="10"/>
      <c r="AE70" s="81"/>
      <c r="AF70" s="10"/>
      <c r="AG70" s="21"/>
      <c r="AH70" s="10"/>
      <c r="AI70" s="17"/>
      <c r="AJ70" s="10"/>
      <c r="AK70" s="10"/>
      <c r="AL70" s="10"/>
      <c r="AM70" s="10"/>
      <c r="AN70" s="10"/>
      <c r="AO70" s="10"/>
      <c r="AP70" s="10"/>
      <c r="AQ70" s="10"/>
      <c r="AR70" s="21"/>
      <c r="AS70" s="10"/>
      <c r="AT70" s="17"/>
      <c r="AU70" s="10"/>
      <c r="AV70" s="10"/>
      <c r="AW70" s="10"/>
      <c r="AX70" s="10"/>
      <c r="AY70" s="10"/>
      <c r="AZ70" s="10"/>
      <c r="BA70" s="10"/>
      <c r="BB70" s="10"/>
      <c r="BC70" s="21"/>
      <c r="BD70" s="10"/>
    </row>
    <row r="71" ht="35.25" customHeight="1">
      <c r="A71" s="10"/>
      <c r="B71" s="17"/>
      <c r="C71" s="63" t="s">
        <v>44</v>
      </c>
      <c r="D71" s="32"/>
      <c r="E71" s="32"/>
      <c r="F71" s="32"/>
      <c r="G71" s="32"/>
      <c r="H71" s="32"/>
      <c r="I71" s="32"/>
      <c r="J71" s="33"/>
      <c r="K71" s="21"/>
      <c r="L71" s="10"/>
      <c r="M71" s="17"/>
      <c r="N71" s="63" t="str">
        <f>C71</f>
        <v>Plan 4 Niveles
 (591 Horas Reloj Niveles A2, B1, B2 y C1)</v>
      </c>
      <c r="O71" s="32"/>
      <c r="P71" s="32"/>
      <c r="Q71" s="32"/>
      <c r="R71" s="32"/>
      <c r="S71" s="32"/>
      <c r="T71" s="32"/>
      <c r="U71" s="33"/>
      <c r="V71" s="21"/>
      <c r="W71" s="10"/>
      <c r="X71" s="17"/>
      <c r="Y71" s="63" t="str">
        <f>C71</f>
        <v>Plan 4 Niveles
 (591 Horas Reloj Niveles A2, B1, B2 y C1)</v>
      </c>
      <c r="Z71" s="32"/>
      <c r="AA71" s="32"/>
      <c r="AB71" s="32"/>
      <c r="AC71" s="32"/>
      <c r="AD71" s="32"/>
      <c r="AE71" s="32"/>
      <c r="AF71" s="32"/>
      <c r="AG71" s="21"/>
      <c r="AH71" s="10"/>
      <c r="AI71" s="17"/>
      <c r="AJ71" s="64" t="str">
        <f>C71</f>
        <v>Plan 4 Niveles
 (591 Horas Reloj Niveles A2, B1, B2 y C1)</v>
      </c>
      <c r="AK71" s="32"/>
      <c r="AL71" s="32"/>
      <c r="AM71" s="32"/>
      <c r="AN71" s="32"/>
      <c r="AO71" s="32"/>
      <c r="AP71" s="32"/>
      <c r="AQ71" s="33"/>
      <c r="AR71" s="21"/>
      <c r="AS71" s="34"/>
      <c r="AT71" s="17"/>
      <c r="AU71" s="31" t="str">
        <f>C71</f>
        <v>Plan 4 Niveles
 (591 Horas Reloj Niveles A2, B1, B2 y C1)</v>
      </c>
      <c r="AV71" s="32"/>
      <c r="AW71" s="32"/>
      <c r="AX71" s="32"/>
      <c r="AY71" s="32"/>
      <c r="AZ71" s="32"/>
      <c r="BA71" s="32"/>
      <c r="BB71" s="33"/>
      <c r="BC71" s="21"/>
      <c r="BD71" s="10"/>
    </row>
    <row r="72" ht="13.5" customHeight="1">
      <c r="A72" s="10"/>
      <c r="B72" s="17"/>
      <c r="C72" s="65" t="s">
        <v>26</v>
      </c>
      <c r="D72" s="66" t="s">
        <v>27</v>
      </c>
      <c r="E72" s="66" t="s">
        <v>28</v>
      </c>
      <c r="F72" s="67" t="s">
        <v>29</v>
      </c>
      <c r="G72" s="67" t="s">
        <v>30</v>
      </c>
      <c r="H72" s="66" t="s">
        <v>31</v>
      </c>
      <c r="I72" s="68" t="s">
        <v>32</v>
      </c>
      <c r="J72" s="69" t="s">
        <v>33</v>
      </c>
      <c r="K72" s="21"/>
      <c r="L72" s="10"/>
      <c r="M72" s="17"/>
      <c r="N72" s="65" t="s">
        <v>26</v>
      </c>
      <c r="O72" s="66" t="s">
        <v>27</v>
      </c>
      <c r="P72" s="66" t="s">
        <v>28</v>
      </c>
      <c r="Q72" s="67" t="s">
        <v>29</v>
      </c>
      <c r="R72" s="67" t="s">
        <v>30</v>
      </c>
      <c r="S72" s="66" t="s">
        <v>31</v>
      </c>
      <c r="T72" s="70" t="s">
        <v>32</v>
      </c>
      <c r="U72" s="69" t="s">
        <v>33</v>
      </c>
      <c r="V72" s="21"/>
      <c r="W72" s="34"/>
      <c r="X72" s="17"/>
      <c r="Y72" s="65" t="s">
        <v>26</v>
      </c>
      <c r="Z72" s="66" t="s">
        <v>27</v>
      </c>
      <c r="AA72" s="66" t="s">
        <v>28</v>
      </c>
      <c r="AB72" s="67" t="s">
        <v>29</v>
      </c>
      <c r="AC72" s="67" t="s">
        <v>30</v>
      </c>
      <c r="AD72" s="66" t="s">
        <v>31</v>
      </c>
      <c r="AE72" s="70" t="s">
        <v>32</v>
      </c>
      <c r="AF72" s="69" t="s">
        <v>33</v>
      </c>
      <c r="AG72" s="21"/>
      <c r="AH72" s="34"/>
      <c r="AI72" s="17"/>
      <c r="AJ72" s="65" t="s">
        <v>26</v>
      </c>
      <c r="AK72" s="66" t="s">
        <v>27</v>
      </c>
      <c r="AL72" s="66" t="s">
        <v>28</v>
      </c>
      <c r="AM72" s="67" t="s">
        <v>29</v>
      </c>
      <c r="AN72" s="67" t="s">
        <v>30</v>
      </c>
      <c r="AO72" s="66" t="s">
        <v>31</v>
      </c>
      <c r="AP72" s="68" t="s">
        <v>32</v>
      </c>
      <c r="AQ72" s="69" t="s">
        <v>33</v>
      </c>
      <c r="AR72" s="21"/>
      <c r="AS72" s="71"/>
      <c r="AT72" s="17"/>
      <c r="AU72" s="65" t="s">
        <v>26</v>
      </c>
      <c r="AV72" s="67" t="s">
        <v>27</v>
      </c>
      <c r="AW72" s="67" t="s">
        <v>28</v>
      </c>
      <c r="AX72" s="67" t="s">
        <v>29</v>
      </c>
      <c r="AY72" s="67" t="s">
        <v>30</v>
      </c>
      <c r="AZ72" s="67" t="s">
        <v>31</v>
      </c>
      <c r="BA72" s="72" t="s">
        <v>32</v>
      </c>
      <c r="BB72" s="69" t="s">
        <v>33</v>
      </c>
      <c r="BC72" s="21"/>
      <c r="BD72" s="34"/>
    </row>
    <row r="73" ht="13.5" customHeight="1">
      <c r="A73" s="10"/>
      <c r="B73" s="17"/>
      <c r="C73" s="73">
        <f>C13+C18+C18+C18</f>
        <v>7137000</v>
      </c>
      <c r="D73" s="74">
        <v>1.0</v>
      </c>
      <c r="E73" s="75">
        <v>0.35</v>
      </c>
      <c r="F73" s="76">
        <f>H73</f>
        <v>4639050</v>
      </c>
      <c r="G73" s="76">
        <v>0.0</v>
      </c>
      <c r="H73" s="76">
        <f>C73-(C73*E73)</f>
        <v>4639050</v>
      </c>
      <c r="I73" s="77">
        <f>H73/J73</f>
        <v>7849.492386</v>
      </c>
      <c r="J73" s="74">
        <v>591.0</v>
      </c>
      <c r="K73" s="21"/>
      <c r="L73" s="10"/>
      <c r="M73" s="17"/>
      <c r="N73" s="73">
        <f>C73</f>
        <v>7137000</v>
      </c>
      <c r="O73" s="74">
        <v>1.0</v>
      </c>
      <c r="P73" s="78">
        <f>(N73-S73)/N73</f>
        <v>0.3825</v>
      </c>
      <c r="Q73" s="76">
        <f>S73</f>
        <v>4407097.5</v>
      </c>
      <c r="R73" s="76">
        <v>0.0</v>
      </c>
      <c r="S73" s="76">
        <f t="shared" ref="S73:S75" si="133">H73*0.95</f>
        <v>4407097.5</v>
      </c>
      <c r="T73" s="76">
        <f>S73/U73</f>
        <v>7457.017766</v>
      </c>
      <c r="U73" s="74">
        <v>591.0</v>
      </c>
      <c r="V73" s="21"/>
      <c r="W73" s="71"/>
      <c r="X73" s="17"/>
      <c r="Y73" s="73">
        <f>C73</f>
        <v>7137000</v>
      </c>
      <c r="Z73" s="74">
        <v>1.0</v>
      </c>
      <c r="AA73" s="78">
        <f>(Y73-AD73)/Y73</f>
        <v>0.415</v>
      </c>
      <c r="AB73" s="76">
        <f>AD73</f>
        <v>4175145</v>
      </c>
      <c r="AC73" s="76">
        <v>0.0</v>
      </c>
      <c r="AD73" s="76">
        <f t="shared" ref="AD73:AD75" si="134">H73*0.9</f>
        <v>4175145</v>
      </c>
      <c r="AE73" s="76">
        <f>AD73/AF73</f>
        <v>7064.543147</v>
      </c>
      <c r="AF73" s="74">
        <v>591.0</v>
      </c>
      <c r="AG73" s="21"/>
      <c r="AH73" s="71"/>
      <c r="AI73" s="17"/>
      <c r="AJ73" s="73">
        <f>C73</f>
        <v>7137000</v>
      </c>
      <c r="AK73" s="74">
        <v>1.0</v>
      </c>
      <c r="AL73" s="78">
        <f>(AJ73-AO73)/AJ73</f>
        <v>0.4475</v>
      </c>
      <c r="AM73" s="76">
        <f>AO73</f>
        <v>3943192.5</v>
      </c>
      <c r="AN73" s="76">
        <v>0.0</v>
      </c>
      <c r="AO73" s="76">
        <f t="shared" ref="AO73:AO75" si="135">H73*0.85</f>
        <v>3943192.5</v>
      </c>
      <c r="AP73" s="77">
        <f>AO73/AQ73</f>
        <v>6672.068528</v>
      </c>
      <c r="AQ73" s="74">
        <v>591.0</v>
      </c>
      <c r="AR73" s="21"/>
      <c r="AS73" s="12"/>
      <c r="AT73" s="17"/>
      <c r="AU73" s="73">
        <f>C73</f>
        <v>7137000</v>
      </c>
      <c r="AV73" s="74">
        <v>1.0</v>
      </c>
      <c r="AW73" s="78">
        <f>(AU73-AZ73)/AU73</f>
        <v>0.48</v>
      </c>
      <c r="AX73" s="76">
        <f>AZ73</f>
        <v>3711240</v>
      </c>
      <c r="AY73" s="76">
        <v>0.0</v>
      </c>
      <c r="AZ73" s="76">
        <f t="shared" ref="AZ73:AZ75" si="136">H73*0.8</f>
        <v>3711240</v>
      </c>
      <c r="BA73" s="76">
        <f>AZ73/BB73</f>
        <v>6279.593909</v>
      </c>
      <c r="BB73" s="74">
        <v>591.0</v>
      </c>
      <c r="BC73" s="21"/>
      <c r="BD73" s="71"/>
    </row>
    <row r="74" ht="13.5" customHeight="1">
      <c r="A74" s="10"/>
      <c r="B74" s="17"/>
      <c r="C74" s="60"/>
      <c r="D74" s="74">
        <v>4.0</v>
      </c>
      <c r="E74" s="75">
        <v>0.3</v>
      </c>
      <c r="F74" s="79">
        <f t="shared" ref="F74:F75" si="137">H74/D74</f>
        <v>1248975</v>
      </c>
      <c r="G74" s="76">
        <f t="shared" ref="G74:G75" si="138">(H74-F74)/(D74-1)</f>
        <v>1248975</v>
      </c>
      <c r="H74" s="76">
        <f>C73-(C73*E74)</f>
        <v>4995900</v>
      </c>
      <c r="I74" s="77">
        <f>H74/J73</f>
        <v>8453.299492</v>
      </c>
      <c r="J74" s="80">
        <f>J73/D74</f>
        <v>147.75</v>
      </c>
      <c r="K74" s="21"/>
      <c r="L74" s="10"/>
      <c r="M74" s="17"/>
      <c r="N74" s="60"/>
      <c r="O74" s="74">
        <f t="shared" ref="O74:O75" si="139">D74</f>
        <v>4</v>
      </c>
      <c r="P74" s="78">
        <f>(N73-S74)/N73</f>
        <v>0.335</v>
      </c>
      <c r="Q74" s="79">
        <f t="shared" ref="Q74:Q75" si="140">F74-(F74*5%)</f>
        <v>1186526.25</v>
      </c>
      <c r="R74" s="76">
        <f t="shared" ref="R74:R75" si="141">(S74-Q74)/(O74-1)</f>
        <v>1186526.25</v>
      </c>
      <c r="S74" s="76">
        <f t="shared" si="133"/>
        <v>4746105</v>
      </c>
      <c r="T74" s="77">
        <f>S74/U73</f>
        <v>8030.634518</v>
      </c>
      <c r="U74" s="80">
        <f>U73/O74</f>
        <v>147.75</v>
      </c>
      <c r="V74" s="21"/>
      <c r="W74" s="71"/>
      <c r="X74" s="17"/>
      <c r="Y74" s="60"/>
      <c r="Z74" s="74">
        <f>D74</f>
        <v>4</v>
      </c>
      <c r="AA74" s="78">
        <f>(Y73-AD74)/Y73</f>
        <v>0.37</v>
      </c>
      <c r="AB74" s="79">
        <f t="shared" ref="AB74:AB75" si="142">F74-(F74*10%)</f>
        <v>1124077.5</v>
      </c>
      <c r="AC74" s="76">
        <f t="shared" ref="AC74:AC75" si="143">(AD74-AB74)/(Z74-1)</f>
        <v>1124077.5</v>
      </c>
      <c r="AD74" s="76">
        <f t="shared" si="134"/>
        <v>4496310</v>
      </c>
      <c r="AE74" s="77">
        <f>AD74/AF73</f>
        <v>7607.969543</v>
      </c>
      <c r="AF74" s="80">
        <f>AF73/Z74</f>
        <v>147.75</v>
      </c>
      <c r="AG74" s="21"/>
      <c r="AH74" s="71"/>
      <c r="AI74" s="17"/>
      <c r="AJ74" s="60"/>
      <c r="AK74" s="74">
        <f>D74</f>
        <v>4</v>
      </c>
      <c r="AL74" s="78">
        <f>(AJ73-AO74)/AJ73</f>
        <v>0.405</v>
      </c>
      <c r="AM74" s="79">
        <f t="shared" ref="AM74:AM75" si="144">F74-(F74*15%)</f>
        <v>1061628.75</v>
      </c>
      <c r="AN74" s="76">
        <f t="shared" ref="AN74:AN75" si="145">(AO74-AM74)/(AK74-1)</f>
        <v>1061628.75</v>
      </c>
      <c r="AO74" s="76">
        <f t="shared" si="135"/>
        <v>4246515</v>
      </c>
      <c r="AP74" s="77">
        <f>AO74/AQ73</f>
        <v>7185.304569</v>
      </c>
      <c r="AQ74" s="80">
        <f>AQ73/AK74</f>
        <v>147.75</v>
      </c>
      <c r="AR74" s="21"/>
      <c r="AS74" s="12"/>
      <c r="AT74" s="17"/>
      <c r="AU74" s="60"/>
      <c r="AV74" s="74">
        <f>D74</f>
        <v>4</v>
      </c>
      <c r="AW74" s="78">
        <f>(AU73-AZ74)/AU73</f>
        <v>0.44</v>
      </c>
      <c r="AX74" s="79">
        <f t="shared" ref="AX74:AX75" si="146">F74-(F74*20%)</f>
        <v>999180</v>
      </c>
      <c r="AY74" s="76">
        <f t="shared" ref="AY74:AY75" si="147">(AZ74-AX74)/(AV74-1)</f>
        <v>999180</v>
      </c>
      <c r="AZ74" s="76">
        <f t="shared" si="136"/>
        <v>3996720</v>
      </c>
      <c r="BA74" s="77">
        <f>AZ74/BB73</f>
        <v>6762.639594</v>
      </c>
      <c r="BB74" s="80">
        <f>BB73/AV74</f>
        <v>147.75</v>
      </c>
      <c r="BC74" s="21"/>
      <c r="BD74" s="71"/>
    </row>
    <row r="75" ht="13.5" customHeight="1">
      <c r="A75" s="10"/>
      <c r="B75" s="17"/>
      <c r="C75" s="52"/>
      <c r="D75" s="74">
        <v>15.0</v>
      </c>
      <c r="E75" s="75">
        <v>0.25</v>
      </c>
      <c r="F75" s="79">
        <f t="shared" si="137"/>
        <v>356850</v>
      </c>
      <c r="G75" s="76">
        <f t="shared" si="138"/>
        <v>356850</v>
      </c>
      <c r="H75" s="76">
        <f>C73-(C73*E75)</f>
        <v>5352750</v>
      </c>
      <c r="I75" s="77">
        <f>H75/J73</f>
        <v>9057.106599</v>
      </c>
      <c r="J75" s="80">
        <f>J73/D75</f>
        <v>39.4</v>
      </c>
      <c r="K75" s="21"/>
      <c r="L75" s="10"/>
      <c r="M75" s="17"/>
      <c r="N75" s="52"/>
      <c r="O75" s="74">
        <f t="shared" si="139"/>
        <v>15</v>
      </c>
      <c r="P75" s="78">
        <f>(N73-S75)/N73</f>
        <v>0.2875</v>
      </c>
      <c r="Q75" s="79">
        <f t="shared" si="140"/>
        <v>339007.5</v>
      </c>
      <c r="R75" s="76">
        <f t="shared" si="141"/>
        <v>339007.5</v>
      </c>
      <c r="S75" s="76">
        <f t="shared" si="133"/>
        <v>5085112.5</v>
      </c>
      <c r="T75" s="76">
        <f>S75/U73</f>
        <v>8604.251269</v>
      </c>
      <c r="U75" s="80">
        <f>U73/O75</f>
        <v>39.4</v>
      </c>
      <c r="V75" s="21"/>
      <c r="W75" s="12"/>
      <c r="X75" s="17"/>
      <c r="Y75" s="52"/>
      <c r="Z75" s="74">
        <f>+D75</f>
        <v>15</v>
      </c>
      <c r="AA75" s="78">
        <f>(Y73-AD75)/Y73</f>
        <v>0.325</v>
      </c>
      <c r="AB75" s="53">
        <f t="shared" si="142"/>
        <v>321165</v>
      </c>
      <c r="AC75" s="76">
        <f t="shared" si="143"/>
        <v>321165</v>
      </c>
      <c r="AD75" s="76">
        <f t="shared" si="134"/>
        <v>4817475</v>
      </c>
      <c r="AE75" s="76">
        <f>AD75/AF73</f>
        <v>8151.395939</v>
      </c>
      <c r="AF75" s="80">
        <f>AF73/Z75</f>
        <v>39.4</v>
      </c>
      <c r="AG75" s="21"/>
      <c r="AH75" s="12"/>
      <c r="AI75" s="17"/>
      <c r="AJ75" s="52"/>
      <c r="AK75" s="74">
        <f>+D75</f>
        <v>15</v>
      </c>
      <c r="AL75" s="75">
        <f>(AJ73-AO75)/AJ73</f>
        <v>0.3625</v>
      </c>
      <c r="AM75" s="79">
        <f t="shared" si="144"/>
        <v>303322.5</v>
      </c>
      <c r="AN75" s="76">
        <f t="shared" si="145"/>
        <v>303322.5</v>
      </c>
      <c r="AO75" s="76">
        <f t="shared" si="135"/>
        <v>4549837.5</v>
      </c>
      <c r="AP75" s="77">
        <f>AO75/AQ73</f>
        <v>7698.540609</v>
      </c>
      <c r="AQ75" s="80">
        <f>AQ73/AK75</f>
        <v>39.4</v>
      </c>
      <c r="AR75" s="21"/>
      <c r="AS75" s="62"/>
      <c r="AT75" s="17"/>
      <c r="AU75" s="52"/>
      <c r="AV75" s="74">
        <f>+D75</f>
        <v>15</v>
      </c>
      <c r="AW75" s="75">
        <f>(AU73-AZ75)/AU73</f>
        <v>0.4</v>
      </c>
      <c r="AX75" s="79">
        <f t="shared" si="146"/>
        <v>285480</v>
      </c>
      <c r="AY75" s="76">
        <f t="shared" si="147"/>
        <v>285480</v>
      </c>
      <c r="AZ75" s="76">
        <f t="shared" si="136"/>
        <v>4282200</v>
      </c>
      <c r="BA75" s="76">
        <f>AZ75/BB73</f>
        <v>7245.685279</v>
      </c>
      <c r="BB75" s="80">
        <f>BB73/AV75</f>
        <v>39.4</v>
      </c>
      <c r="BC75" s="21"/>
      <c r="BD75" s="12"/>
    </row>
    <row r="76" ht="13.5" customHeight="1">
      <c r="A76" s="10"/>
      <c r="B76" s="17"/>
      <c r="C76" s="10"/>
      <c r="D76" s="10"/>
      <c r="E76" s="10"/>
      <c r="F76" s="10"/>
      <c r="G76" s="10"/>
      <c r="H76" s="10"/>
      <c r="I76" s="12"/>
      <c r="J76" s="10"/>
      <c r="K76" s="21"/>
      <c r="L76" s="10"/>
      <c r="M76" s="17"/>
      <c r="N76" s="10"/>
      <c r="O76" s="10"/>
      <c r="P76" s="10"/>
      <c r="Q76" s="10"/>
      <c r="R76" s="10"/>
      <c r="S76" s="10"/>
      <c r="T76" s="10"/>
      <c r="U76" s="10"/>
      <c r="V76" s="21"/>
      <c r="W76" s="10"/>
      <c r="X76" s="17"/>
      <c r="Y76" s="10"/>
      <c r="Z76" s="10"/>
      <c r="AA76" s="10"/>
      <c r="AB76" s="10"/>
      <c r="AC76" s="10"/>
      <c r="AD76" s="10"/>
      <c r="AE76" s="81"/>
      <c r="AF76" s="10"/>
      <c r="AG76" s="21"/>
      <c r="AH76" s="10"/>
      <c r="AI76" s="17"/>
      <c r="AJ76" s="10"/>
      <c r="AK76" s="10"/>
      <c r="AL76" s="10"/>
      <c r="AM76" s="10"/>
      <c r="AN76" s="10"/>
      <c r="AO76" s="10"/>
      <c r="AP76" s="10"/>
      <c r="AQ76" s="10"/>
      <c r="AR76" s="21"/>
      <c r="AS76" s="10"/>
      <c r="AT76" s="17"/>
      <c r="AU76" s="10"/>
      <c r="AV76" s="10"/>
      <c r="AW76" s="10"/>
      <c r="AX76" s="10"/>
      <c r="AY76" s="10"/>
      <c r="AZ76" s="10"/>
      <c r="BA76" s="10"/>
      <c r="BB76" s="10"/>
      <c r="BC76" s="21"/>
      <c r="BD76" s="10"/>
    </row>
    <row r="77" ht="13.5" customHeight="1">
      <c r="A77" s="10"/>
      <c r="B77" s="17"/>
      <c r="C77" s="10"/>
      <c r="D77" s="10"/>
      <c r="E77" s="10"/>
      <c r="F77" s="10"/>
      <c r="G77" s="10"/>
      <c r="H77" s="10"/>
      <c r="I77" s="12"/>
      <c r="J77" s="10"/>
      <c r="K77" s="21"/>
      <c r="L77" s="10"/>
      <c r="M77" s="17"/>
      <c r="N77" s="10"/>
      <c r="O77" s="10"/>
      <c r="P77" s="10"/>
      <c r="Q77" s="10"/>
      <c r="R77" s="10"/>
      <c r="S77" s="10"/>
      <c r="T77" s="10"/>
      <c r="U77" s="10"/>
      <c r="V77" s="21"/>
      <c r="W77" s="10"/>
      <c r="X77" s="17"/>
      <c r="Y77" s="10"/>
      <c r="Z77" s="10"/>
      <c r="AA77" s="10"/>
      <c r="AB77" s="10"/>
      <c r="AC77" s="10"/>
      <c r="AD77" s="10"/>
      <c r="AE77" s="10"/>
      <c r="AF77" s="10"/>
      <c r="AG77" s="21"/>
      <c r="AH77" s="10"/>
      <c r="AI77" s="17"/>
      <c r="AJ77" s="10"/>
      <c r="AK77" s="10"/>
      <c r="AL77" s="10"/>
      <c r="AM77" s="10"/>
      <c r="AN77" s="10"/>
      <c r="AO77" s="10"/>
      <c r="AP77" s="10"/>
      <c r="AQ77" s="10"/>
      <c r="AR77" s="21"/>
      <c r="AS77" s="10"/>
      <c r="AT77" s="17"/>
      <c r="AU77" s="10"/>
      <c r="AV77" s="10"/>
      <c r="AW77" s="10"/>
      <c r="AX77" s="10"/>
      <c r="AY77" s="10"/>
      <c r="AZ77" s="10"/>
      <c r="BA77" s="10"/>
      <c r="BB77" s="10"/>
      <c r="BC77" s="21"/>
      <c r="BD77" s="10"/>
    </row>
    <row r="78" ht="34.5" customHeight="1">
      <c r="A78" s="10"/>
      <c r="B78" s="17"/>
      <c r="C78" s="31" t="s">
        <v>45</v>
      </c>
      <c r="D78" s="32"/>
      <c r="E78" s="32"/>
      <c r="F78" s="32"/>
      <c r="G78" s="32"/>
      <c r="H78" s="32"/>
      <c r="I78" s="32"/>
      <c r="J78" s="33"/>
      <c r="K78" s="21"/>
      <c r="L78" s="10"/>
      <c r="M78" s="17"/>
      <c r="N78" s="31" t="str">
        <f>C78</f>
        <v>Plan Completo 5 Niveles
 (681 Horas Reloj -  Niveles A1, A2, B1, B2 y C1)</v>
      </c>
      <c r="O78" s="32"/>
      <c r="P78" s="32"/>
      <c r="Q78" s="32"/>
      <c r="R78" s="32"/>
      <c r="S78" s="32"/>
      <c r="T78" s="32"/>
      <c r="U78" s="33"/>
      <c r="V78" s="21"/>
      <c r="W78" s="10"/>
      <c r="X78" s="17"/>
      <c r="Y78" s="31" t="str">
        <f>C78</f>
        <v>Plan Completo 5 Niveles
 (681 Horas Reloj -  Niveles A1, A2, B1, B2 y C1)</v>
      </c>
      <c r="Z78" s="32"/>
      <c r="AA78" s="32"/>
      <c r="AB78" s="32"/>
      <c r="AC78" s="32"/>
      <c r="AD78" s="32"/>
      <c r="AE78" s="32"/>
      <c r="AF78" s="32"/>
      <c r="AG78" s="21"/>
      <c r="AH78" s="10"/>
      <c r="AI78" s="17"/>
      <c r="AJ78" s="31" t="str">
        <f>C78</f>
        <v>Plan Completo 5 Niveles
 (681 Horas Reloj -  Niveles A1, A2, B1, B2 y C1)</v>
      </c>
      <c r="AK78" s="32"/>
      <c r="AL78" s="32"/>
      <c r="AM78" s="32"/>
      <c r="AN78" s="32"/>
      <c r="AO78" s="32"/>
      <c r="AP78" s="32"/>
      <c r="AQ78" s="33"/>
      <c r="AR78" s="21"/>
      <c r="AS78" s="34"/>
      <c r="AT78" s="17"/>
      <c r="AU78" s="31" t="str">
        <f>C78</f>
        <v>Plan Completo 5 Niveles
 (681 Horas Reloj -  Niveles A1, A2, B1, B2 y C1)</v>
      </c>
      <c r="AV78" s="32"/>
      <c r="AW78" s="32"/>
      <c r="AX78" s="32"/>
      <c r="AY78" s="32"/>
      <c r="AZ78" s="32"/>
      <c r="BA78" s="32"/>
      <c r="BB78" s="33"/>
      <c r="BC78" s="21"/>
      <c r="BD78" s="10"/>
    </row>
    <row r="79" ht="13.5" customHeight="1">
      <c r="A79" s="10"/>
      <c r="B79" s="17"/>
      <c r="C79" s="82" t="s">
        <v>26</v>
      </c>
      <c r="D79" s="66" t="s">
        <v>27</v>
      </c>
      <c r="E79" s="66" t="s">
        <v>28</v>
      </c>
      <c r="F79" s="67" t="s">
        <v>29</v>
      </c>
      <c r="G79" s="67" t="s">
        <v>30</v>
      </c>
      <c r="H79" s="66" t="s">
        <v>31</v>
      </c>
      <c r="I79" s="68" t="s">
        <v>32</v>
      </c>
      <c r="J79" s="69" t="s">
        <v>33</v>
      </c>
      <c r="K79" s="21"/>
      <c r="L79" s="10"/>
      <c r="M79" s="17"/>
      <c r="N79" s="82" t="s">
        <v>26</v>
      </c>
      <c r="O79" s="66" t="s">
        <v>27</v>
      </c>
      <c r="P79" s="66" t="s">
        <v>28</v>
      </c>
      <c r="Q79" s="67" t="s">
        <v>29</v>
      </c>
      <c r="R79" s="67" t="s">
        <v>30</v>
      </c>
      <c r="S79" s="66" t="s">
        <v>31</v>
      </c>
      <c r="T79" s="70" t="s">
        <v>32</v>
      </c>
      <c r="U79" s="69" t="s">
        <v>33</v>
      </c>
      <c r="V79" s="21"/>
      <c r="W79" s="34"/>
      <c r="X79" s="17"/>
      <c r="Y79" s="82" t="s">
        <v>26</v>
      </c>
      <c r="Z79" s="66" t="s">
        <v>27</v>
      </c>
      <c r="AA79" s="66" t="s">
        <v>28</v>
      </c>
      <c r="AB79" s="67" t="s">
        <v>29</v>
      </c>
      <c r="AC79" s="67" t="s">
        <v>30</v>
      </c>
      <c r="AD79" s="66" t="s">
        <v>31</v>
      </c>
      <c r="AE79" s="70" t="s">
        <v>32</v>
      </c>
      <c r="AF79" s="69" t="s">
        <v>33</v>
      </c>
      <c r="AG79" s="21"/>
      <c r="AH79" s="34"/>
      <c r="AI79" s="17"/>
      <c r="AJ79" s="82" t="s">
        <v>26</v>
      </c>
      <c r="AK79" s="66" t="s">
        <v>27</v>
      </c>
      <c r="AL79" s="66" t="s">
        <v>28</v>
      </c>
      <c r="AM79" s="67" t="s">
        <v>29</v>
      </c>
      <c r="AN79" s="67" t="s">
        <v>30</v>
      </c>
      <c r="AO79" s="66" t="s">
        <v>31</v>
      </c>
      <c r="AP79" s="68" t="s">
        <v>32</v>
      </c>
      <c r="AQ79" s="69" t="s">
        <v>33</v>
      </c>
      <c r="AR79" s="21"/>
      <c r="AS79" s="71"/>
      <c r="AT79" s="17"/>
      <c r="AU79" s="82" t="s">
        <v>26</v>
      </c>
      <c r="AV79" s="67" t="s">
        <v>27</v>
      </c>
      <c r="AW79" s="67" t="s">
        <v>28</v>
      </c>
      <c r="AX79" s="67" t="s">
        <v>29</v>
      </c>
      <c r="AY79" s="67" t="s">
        <v>30</v>
      </c>
      <c r="AZ79" s="67" t="s">
        <v>31</v>
      </c>
      <c r="BA79" s="72" t="s">
        <v>32</v>
      </c>
      <c r="BB79" s="69" t="s">
        <v>33</v>
      </c>
      <c r="BC79" s="21"/>
      <c r="BD79" s="34"/>
    </row>
    <row r="80" ht="13.5" customHeight="1">
      <c r="A80" s="10"/>
      <c r="B80" s="17"/>
      <c r="C80" s="83">
        <f>C8+C13+C18+C18+C18</f>
        <v>8224000</v>
      </c>
      <c r="D80" s="84">
        <v>1.0</v>
      </c>
      <c r="E80" s="75">
        <v>0.42</v>
      </c>
      <c r="F80" s="76">
        <f>H80</f>
        <v>4769920</v>
      </c>
      <c r="G80" s="76">
        <v>0.0</v>
      </c>
      <c r="H80" s="76">
        <f>C80-(C80*E80)</f>
        <v>4769920</v>
      </c>
      <c r="I80" s="85">
        <f>H80/J80</f>
        <v>7004.287812</v>
      </c>
      <c r="J80" s="84">
        <v>681.0</v>
      </c>
      <c r="K80" s="21"/>
      <c r="L80" s="10"/>
      <c r="M80" s="17"/>
      <c r="N80" s="83">
        <f>C80</f>
        <v>8224000</v>
      </c>
      <c r="O80" s="74">
        <v>1.0</v>
      </c>
      <c r="P80" s="78">
        <f>(N80-S80)/N80</f>
        <v>0.449</v>
      </c>
      <c r="Q80" s="76">
        <f>S80</f>
        <v>4531424</v>
      </c>
      <c r="R80" s="76">
        <v>0.0</v>
      </c>
      <c r="S80" s="76">
        <f t="shared" ref="S80:S82" si="148">H80*0.95</f>
        <v>4531424</v>
      </c>
      <c r="T80" s="76">
        <f>S80/U80</f>
        <v>6654.073421</v>
      </c>
      <c r="U80" s="74">
        <v>681.0</v>
      </c>
      <c r="V80" s="21"/>
      <c r="W80" s="71"/>
      <c r="X80" s="17"/>
      <c r="Y80" s="83">
        <f>C80</f>
        <v>8224000</v>
      </c>
      <c r="Z80" s="74">
        <v>1.0</v>
      </c>
      <c r="AA80" s="78">
        <f>(Y80-AD80)/Y80</f>
        <v>0.478</v>
      </c>
      <c r="AB80" s="76">
        <f>AD80</f>
        <v>4292928</v>
      </c>
      <c r="AC80" s="76">
        <v>0.0</v>
      </c>
      <c r="AD80" s="76">
        <f t="shared" ref="AD80:AD82" si="149">H80*0.9</f>
        <v>4292928</v>
      </c>
      <c r="AE80" s="76">
        <f>AD80/AF80</f>
        <v>6303.859031</v>
      </c>
      <c r="AF80" s="74">
        <v>681.0</v>
      </c>
      <c r="AG80" s="21"/>
      <c r="AH80" s="71"/>
      <c r="AI80" s="17"/>
      <c r="AJ80" s="83">
        <f>C80</f>
        <v>8224000</v>
      </c>
      <c r="AK80" s="74">
        <v>1.0</v>
      </c>
      <c r="AL80" s="78">
        <f>(AJ80-AO80)/AJ80</f>
        <v>0.507</v>
      </c>
      <c r="AM80" s="76">
        <f>AO80</f>
        <v>4054432</v>
      </c>
      <c r="AN80" s="76">
        <v>0.0</v>
      </c>
      <c r="AO80" s="76">
        <f t="shared" ref="AO80:AO82" si="150">H80*0.85</f>
        <v>4054432</v>
      </c>
      <c r="AP80" s="77">
        <f>AO80/AQ80</f>
        <v>5953.64464</v>
      </c>
      <c r="AQ80" s="74">
        <v>681.0</v>
      </c>
      <c r="AR80" s="21"/>
      <c r="AS80" s="12"/>
      <c r="AT80" s="17"/>
      <c r="AU80" s="83">
        <f>C80</f>
        <v>8224000</v>
      </c>
      <c r="AV80" s="74">
        <v>1.0</v>
      </c>
      <c r="AW80" s="78">
        <f>(AU80-AZ80)/AU80</f>
        <v>0.536</v>
      </c>
      <c r="AX80" s="76">
        <f>AZ80</f>
        <v>3815936</v>
      </c>
      <c r="AY80" s="76">
        <v>0.0</v>
      </c>
      <c r="AZ80" s="76">
        <f t="shared" ref="AZ80:AZ82" si="151">H80*0.8</f>
        <v>3815936</v>
      </c>
      <c r="BA80" s="76">
        <f>AZ80/BB80</f>
        <v>4211.84989</v>
      </c>
      <c r="BB80" s="74">
        <v>906.0</v>
      </c>
      <c r="BC80" s="21"/>
      <c r="BD80" s="71"/>
    </row>
    <row r="81" ht="13.5" customHeight="1">
      <c r="A81" s="10"/>
      <c r="B81" s="17"/>
      <c r="C81" s="60"/>
      <c r="D81" s="74">
        <v>5.0</v>
      </c>
      <c r="E81" s="75">
        <v>0.35</v>
      </c>
      <c r="F81" s="79">
        <f t="shared" ref="F81:F82" si="152">H81/D81</f>
        <v>1069120</v>
      </c>
      <c r="G81" s="76">
        <f t="shared" ref="G81:G82" si="153">(H81-F81)/(D81-1)</f>
        <v>1069120</v>
      </c>
      <c r="H81" s="76">
        <f>C80-(C80*E81)</f>
        <v>5345600</v>
      </c>
      <c r="I81" s="77">
        <f>H81/J80</f>
        <v>7849.632893</v>
      </c>
      <c r="J81" s="80">
        <f>J80/D81</f>
        <v>136.2</v>
      </c>
      <c r="K81" s="21"/>
      <c r="L81" s="10"/>
      <c r="M81" s="17"/>
      <c r="N81" s="60"/>
      <c r="O81" s="74">
        <f t="shared" ref="O81:O82" si="154">D81</f>
        <v>5</v>
      </c>
      <c r="P81" s="78">
        <f>(N80-S81)/N80</f>
        <v>0.3825</v>
      </c>
      <c r="Q81" s="79">
        <f t="shared" ref="Q81:Q82" si="155">F81-(F81*5%)</f>
        <v>1015664</v>
      </c>
      <c r="R81" s="76">
        <f t="shared" ref="R81:R82" si="156">(S81-Q81)/(O81-1)</f>
        <v>1015664</v>
      </c>
      <c r="S81" s="76">
        <f t="shared" si="148"/>
        <v>5078320</v>
      </c>
      <c r="T81" s="77">
        <f>S81/U80</f>
        <v>7457.151248</v>
      </c>
      <c r="U81" s="80">
        <f>U80/O81</f>
        <v>136.2</v>
      </c>
      <c r="V81" s="21"/>
      <c r="W81" s="71"/>
      <c r="X81" s="17"/>
      <c r="Y81" s="60"/>
      <c r="Z81" s="74">
        <f t="shared" ref="Z81:Z82" si="157">D81</f>
        <v>5</v>
      </c>
      <c r="AA81" s="78">
        <f>(Y80-AD81)/Y80</f>
        <v>0.415</v>
      </c>
      <c r="AB81" s="79">
        <f t="shared" ref="AB81:AB82" si="158">F81-(F81*10%)</f>
        <v>962208</v>
      </c>
      <c r="AC81" s="76">
        <f t="shared" ref="AC81:AC82" si="159">(AD81-AB81)/(Z81-1)</f>
        <v>962208</v>
      </c>
      <c r="AD81" s="76">
        <f t="shared" si="149"/>
        <v>4811040</v>
      </c>
      <c r="AE81" s="77">
        <f>AD81/AF80</f>
        <v>7064.669604</v>
      </c>
      <c r="AF81" s="80">
        <f>AF80/Z81</f>
        <v>136.2</v>
      </c>
      <c r="AG81" s="21"/>
      <c r="AH81" s="71"/>
      <c r="AI81" s="17"/>
      <c r="AJ81" s="60"/>
      <c r="AK81" s="74">
        <f>Z81</f>
        <v>5</v>
      </c>
      <c r="AL81" s="78">
        <f>(AJ80-AO81)/AJ80</f>
        <v>0.4475</v>
      </c>
      <c r="AM81" s="79">
        <f t="shared" ref="AM81:AM82" si="160">F81-(F81*15%)</f>
        <v>908752</v>
      </c>
      <c r="AN81" s="76">
        <f t="shared" ref="AN81:AN82" si="161">(AO81-AM81)/(AK81-1)</f>
        <v>908752</v>
      </c>
      <c r="AO81" s="76">
        <f t="shared" si="150"/>
        <v>4543760</v>
      </c>
      <c r="AP81" s="77">
        <f>AO81/AQ80</f>
        <v>6672.187959</v>
      </c>
      <c r="AQ81" s="80">
        <f>AQ80/AK81</f>
        <v>136.2</v>
      </c>
      <c r="AR81" s="21"/>
      <c r="AS81" s="12"/>
      <c r="AT81" s="17"/>
      <c r="AU81" s="60"/>
      <c r="AV81" s="74">
        <f>AK81</f>
        <v>5</v>
      </c>
      <c r="AW81" s="78">
        <f>(AU80-AZ81)/AU80</f>
        <v>0.48</v>
      </c>
      <c r="AX81" s="79">
        <f t="shared" ref="AX81:AX82" si="162">F81-(F81*20%)</f>
        <v>855296</v>
      </c>
      <c r="AY81" s="76">
        <f t="shared" ref="AY81:AY82" si="163">(AZ81-AX81)/(AV81-1)</f>
        <v>855296</v>
      </c>
      <c r="AZ81" s="76">
        <f t="shared" si="151"/>
        <v>4276480</v>
      </c>
      <c r="BA81" s="77">
        <f>AZ81/BB80</f>
        <v>4720.1766</v>
      </c>
      <c r="BB81" s="80">
        <f>BB80/AV81</f>
        <v>181.2</v>
      </c>
      <c r="BC81" s="21"/>
      <c r="BD81" s="71"/>
    </row>
    <row r="82" ht="13.5" customHeight="1">
      <c r="A82" s="10"/>
      <c r="B82" s="17"/>
      <c r="C82" s="52"/>
      <c r="D82" s="84">
        <v>20.0</v>
      </c>
      <c r="E82" s="75">
        <v>0.3</v>
      </c>
      <c r="F82" s="79">
        <f t="shared" si="152"/>
        <v>287840</v>
      </c>
      <c r="G82" s="76">
        <f t="shared" si="153"/>
        <v>287840</v>
      </c>
      <c r="H82" s="76">
        <f>C80-(C80*E82)</f>
        <v>5756800</v>
      </c>
      <c r="I82" s="85">
        <f>H82/J80</f>
        <v>8453.450808</v>
      </c>
      <c r="J82" s="86">
        <f>J80/D82</f>
        <v>34.05</v>
      </c>
      <c r="K82" s="21"/>
      <c r="L82" s="10"/>
      <c r="M82" s="17"/>
      <c r="N82" s="52"/>
      <c r="O82" s="74">
        <f t="shared" si="154"/>
        <v>20</v>
      </c>
      <c r="P82" s="78">
        <f>(N80-S82)/N80</f>
        <v>0.335</v>
      </c>
      <c r="Q82" s="79">
        <f t="shared" si="155"/>
        <v>273448</v>
      </c>
      <c r="R82" s="76">
        <f t="shared" si="156"/>
        <v>273448</v>
      </c>
      <c r="S82" s="76">
        <f t="shared" si="148"/>
        <v>5468960</v>
      </c>
      <c r="T82" s="76">
        <f>S82/U80</f>
        <v>8030.778267</v>
      </c>
      <c r="U82" s="80">
        <f>U80/O82</f>
        <v>34.05</v>
      </c>
      <c r="V82" s="21"/>
      <c r="W82" s="12"/>
      <c r="X82" s="17"/>
      <c r="Y82" s="52"/>
      <c r="Z82" s="74">
        <f t="shared" si="157"/>
        <v>20</v>
      </c>
      <c r="AA82" s="78">
        <f>(Y80-AD82)/Y80</f>
        <v>0.37</v>
      </c>
      <c r="AB82" s="79">
        <f t="shared" si="158"/>
        <v>259056</v>
      </c>
      <c r="AC82" s="76">
        <f t="shared" si="159"/>
        <v>259056</v>
      </c>
      <c r="AD82" s="76">
        <f t="shared" si="149"/>
        <v>5181120</v>
      </c>
      <c r="AE82" s="76">
        <f>AD82/AF80</f>
        <v>7608.105727</v>
      </c>
      <c r="AF82" s="80">
        <f>AF80/Z82</f>
        <v>34.05</v>
      </c>
      <c r="AG82" s="21"/>
      <c r="AH82" s="12"/>
      <c r="AI82" s="17"/>
      <c r="AJ82" s="52"/>
      <c r="AK82" s="74">
        <f>+D82</f>
        <v>20</v>
      </c>
      <c r="AL82" s="75">
        <f>(AJ80-AO82)/AJ80</f>
        <v>0.405</v>
      </c>
      <c r="AM82" s="79">
        <f t="shared" si="160"/>
        <v>244664</v>
      </c>
      <c r="AN82" s="76">
        <f t="shared" si="161"/>
        <v>244664</v>
      </c>
      <c r="AO82" s="76">
        <f t="shared" si="150"/>
        <v>4893280</v>
      </c>
      <c r="AP82" s="77">
        <f>AO82/AQ80</f>
        <v>7185.433186</v>
      </c>
      <c r="AQ82" s="80">
        <f>AQ80/AK82</f>
        <v>34.05</v>
      </c>
      <c r="AR82" s="21"/>
      <c r="AS82" s="62"/>
      <c r="AT82" s="17"/>
      <c r="AU82" s="52"/>
      <c r="AV82" s="74">
        <f>+D82</f>
        <v>20</v>
      </c>
      <c r="AW82" s="75">
        <f>(AU80-AZ82)/AU80</f>
        <v>0.44</v>
      </c>
      <c r="AX82" s="79">
        <f t="shared" si="162"/>
        <v>230272</v>
      </c>
      <c r="AY82" s="76">
        <f t="shared" si="163"/>
        <v>230272</v>
      </c>
      <c r="AZ82" s="76">
        <f t="shared" si="151"/>
        <v>4605440</v>
      </c>
      <c r="BA82" s="76">
        <f>AZ82/BB80</f>
        <v>5083.267108</v>
      </c>
      <c r="BB82" s="80">
        <f>BB80/AV82</f>
        <v>45.3</v>
      </c>
      <c r="BC82" s="21"/>
      <c r="BD82" s="12"/>
    </row>
    <row r="83" ht="13.5" customHeight="1">
      <c r="A83" s="10"/>
      <c r="B83" s="87"/>
      <c r="C83" s="88"/>
      <c r="D83" s="88"/>
      <c r="E83" s="88"/>
      <c r="F83" s="88"/>
      <c r="G83" s="88"/>
      <c r="H83" s="88"/>
      <c r="I83" s="89"/>
      <c r="J83" s="88"/>
      <c r="K83" s="90"/>
      <c r="L83" s="10"/>
      <c r="M83" s="87"/>
      <c r="N83" s="88"/>
      <c r="O83" s="88"/>
      <c r="P83" s="88"/>
      <c r="Q83" s="88"/>
      <c r="R83" s="88"/>
      <c r="S83" s="88"/>
      <c r="T83" s="88"/>
      <c r="U83" s="88"/>
      <c r="V83" s="90"/>
      <c r="W83" s="62"/>
      <c r="X83" s="87"/>
      <c r="Y83" s="88"/>
      <c r="Z83" s="88"/>
      <c r="AA83" s="88"/>
      <c r="AB83" s="88"/>
      <c r="AC83" s="88"/>
      <c r="AD83" s="88"/>
      <c r="AE83" s="88"/>
      <c r="AF83" s="88"/>
      <c r="AG83" s="90"/>
      <c r="AH83" s="62"/>
      <c r="AI83" s="87"/>
      <c r="AJ83" s="88"/>
      <c r="AK83" s="88"/>
      <c r="AL83" s="88"/>
      <c r="AM83" s="88"/>
      <c r="AN83" s="88"/>
      <c r="AO83" s="88"/>
      <c r="AP83" s="88"/>
      <c r="AQ83" s="88"/>
      <c r="AR83" s="90"/>
      <c r="AS83" s="10"/>
      <c r="AT83" s="87"/>
      <c r="AU83" s="88"/>
      <c r="AV83" s="88"/>
      <c r="AW83" s="88"/>
      <c r="AX83" s="88"/>
      <c r="AY83" s="88"/>
      <c r="AZ83" s="88"/>
      <c r="BA83" s="88"/>
      <c r="BB83" s="88"/>
      <c r="BC83" s="90"/>
      <c r="BD83" s="62"/>
    </row>
    <row r="84" ht="13.5" customHeight="1">
      <c r="A84" s="10"/>
      <c r="B84" s="10"/>
      <c r="D84" s="91"/>
      <c r="E84" s="91"/>
      <c r="F84" s="91"/>
      <c r="G84" s="91"/>
      <c r="H84" s="91"/>
      <c r="I84" s="92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 ht="14.25" customHeight="1">
      <c r="G85" s="93"/>
      <c r="H85" s="91"/>
      <c r="I85" s="94"/>
      <c r="N85" s="91"/>
      <c r="W85" s="10"/>
      <c r="Y85" s="91"/>
      <c r="AH85" s="10"/>
      <c r="AO85" s="91"/>
      <c r="AU85" s="91"/>
      <c r="AW85" s="91"/>
      <c r="AX85" s="91"/>
      <c r="BD85" s="10"/>
    </row>
    <row r="86" ht="13.5" customHeight="1">
      <c r="Y86" s="91"/>
      <c r="AJ86" s="91"/>
      <c r="AO86" s="91"/>
      <c r="AU86" s="91"/>
    </row>
    <row r="87" ht="21.75" customHeight="1">
      <c r="A87" s="95"/>
      <c r="B87" s="96" t="s">
        <v>46</v>
      </c>
      <c r="C87" s="97"/>
      <c r="D87" s="97"/>
      <c r="E87" s="97"/>
      <c r="F87" s="97"/>
      <c r="G87" s="97"/>
      <c r="H87" s="97"/>
      <c r="I87" s="97"/>
      <c r="J87" s="97"/>
      <c r="K87" s="98"/>
      <c r="L87" s="95"/>
      <c r="M87" s="96" t="s">
        <v>46</v>
      </c>
      <c r="N87" s="97"/>
      <c r="O87" s="97"/>
      <c r="P87" s="97"/>
      <c r="Q87" s="97"/>
      <c r="R87" s="97"/>
      <c r="S87" s="97"/>
      <c r="T87" s="97"/>
      <c r="U87" s="97"/>
      <c r="V87" s="98"/>
      <c r="W87" s="95"/>
      <c r="X87" s="96" t="s">
        <v>46</v>
      </c>
      <c r="Y87" s="97"/>
      <c r="Z87" s="97"/>
      <c r="AA87" s="97"/>
      <c r="AB87" s="97"/>
      <c r="AC87" s="97"/>
      <c r="AD87" s="97"/>
      <c r="AE87" s="97"/>
      <c r="AF87" s="97"/>
      <c r="AG87" s="98"/>
      <c r="AH87" s="95"/>
      <c r="AI87" s="99" t="s">
        <v>47</v>
      </c>
      <c r="AJ87" s="97"/>
      <c r="AK87" s="97"/>
      <c r="AL87" s="97"/>
      <c r="AM87" s="97"/>
      <c r="AN87" s="97"/>
      <c r="AO87" s="97"/>
      <c r="AP87" s="97"/>
      <c r="AQ87" s="98"/>
      <c r="AS87" s="95"/>
      <c r="AT87" s="100" t="s">
        <v>48</v>
      </c>
      <c r="AU87" s="97"/>
      <c r="AV87" s="97"/>
      <c r="AW87" s="97"/>
      <c r="AX87" s="97"/>
      <c r="AY87" s="97"/>
      <c r="AZ87" s="97"/>
      <c r="BA87" s="97"/>
      <c r="BB87" s="97"/>
      <c r="BC87" s="98"/>
      <c r="BD87" s="95"/>
    </row>
    <row r="88" ht="13.5" customHeight="1">
      <c r="I88" s="101"/>
      <c r="Y88" s="91"/>
    </row>
    <row r="89" ht="37.5" customHeight="1">
      <c r="I89" s="101"/>
      <c r="Y89" s="91"/>
      <c r="AI89" s="102" t="s">
        <v>49</v>
      </c>
      <c r="AJ89" s="103"/>
      <c r="AK89" s="103"/>
      <c r="AL89" s="103"/>
      <c r="AM89" s="103"/>
      <c r="AN89" s="103"/>
      <c r="AO89" s="103"/>
      <c r="AP89" s="103"/>
      <c r="AQ89" s="104"/>
    </row>
    <row r="90" ht="13.5" customHeight="1">
      <c r="C90" s="105" t="s">
        <v>50</v>
      </c>
      <c r="D90" s="32"/>
      <c r="E90" s="32"/>
      <c r="F90" s="32"/>
      <c r="G90" s="32"/>
      <c r="H90" s="32"/>
      <c r="I90" s="32"/>
      <c r="J90" s="33"/>
      <c r="Y90" s="91"/>
      <c r="AI90" s="106"/>
      <c r="AQ90" s="107"/>
    </row>
    <row r="91" ht="13.5" customHeight="1">
      <c r="C91" s="108" t="s">
        <v>51</v>
      </c>
      <c r="D91" s="19"/>
      <c r="E91" s="19"/>
      <c r="F91" s="109" t="s">
        <v>52</v>
      </c>
      <c r="G91" s="109"/>
      <c r="H91" s="110" t="s">
        <v>53</v>
      </c>
      <c r="I91" s="19"/>
      <c r="J91" s="20"/>
      <c r="Q91" s="111"/>
      <c r="Y91" s="91"/>
      <c r="AI91" s="106"/>
      <c r="AQ91" s="107"/>
    </row>
    <row r="92" ht="13.5" customHeight="1">
      <c r="C92" s="112" t="s">
        <v>54</v>
      </c>
      <c r="F92" s="113" t="s">
        <v>52</v>
      </c>
      <c r="J92" s="114"/>
      <c r="Y92" s="91"/>
      <c r="AI92" s="106"/>
      <c r="AQ92" s="107"/>
    </row>
    <row r="93" ht="13.5" customHeight="1">
      <c r="C93" s="112" t="s">
        <v>55</v>
      </c>
      <c r="F93" s="113" t="s">
        <v>56</v>
      </c>
      <c r="J93" s="114"/>
      <c r="Q93" s="115"/>
      <c r="Y93" s="91"/>
      <c r="AI93" s="116"/>
      <c r="AJ93" s="117"/>
      <c r="AK93" s="117"/>
      <c r="AL93" s="117"/>
      <c r="AM93" s="117"/>
      <c r="AN93" s="117"/>
      <c r="AO93" s="117"/>
      <c r="AP93" s="117"/>
      <c r="AQ93" s="118"/>
    </row>
    <row r="94" ht="13.5" customHeight="1">
      <c r="C94" s="112" t="s">
        <v>57</v>
      </c>
      <c r="F94" s="113" t="s">
        <v>58</v>
      </c>
      <c r="J94" s="114"/>
      <c r="Y94" s="91"/>
      <c r="AV94" s="119"/>
      <c r="AX94" s="120"/>
    </row>
    <row r="95" ht="13.5" customHeight="1">
      <c r="C95" s="121" t="s">
        <v>59</v>
      </c>
      <c r="D95" s="28"/>
      <c r="E95" s="28"/>
      <c r="F95" s="122" t="s">
        <v>60</v>
      </c>
      <c r="G95" s="123"/>
      <c r="H95" s="28"/>
      <c r="I95" s="28"/>
      <c r="J95" s="29"/>
      <c r="Y95" s="91"/>
      <c r="AV95" s="119"/>
      <c r="AX95" s="120"/>
    </row>
    <row r="96" ht="13.5" customHeight="1">
      <c r="I96" s="101"/>
      <c r="Y96" s="91"/>
      <c r="AV96" s="119"/>
      <c r="AX96" s="120"/>
    </row>
    <row r="97" ht="13.5" customHeight="1">
      <c r="C97" s="105" t="s">
        <v>61</v>
      </c>
      <c r="D97" s="32"/>
      <c r="E97" s="32"/>
      <c r="F97" s="32"/>
      <c r="G97" s="32"/>
      <c r="H97" s="32"/>
      <c r="I97" s="32"/>
      <c r="J97" s="33"/>
      <c r="AV97" s="119"/>
      <c r="AX97" s="120"/>
    </row>
    <row r="98" ht="13.5" customHeight="1">
      <c r="C98" s="108" t="s">
        <v>62</v>
      </c>
      <c r="D98" s="124"/>
      <c r="E98" s="124"/>
      <c r="F98" s="109" t="s">
        <v>52</v>
      </c>
      <c r="G98" s="124"/>
      <c r="H98" s="109" t="s">
        <v>63</v>
      </c>
      <c r="I98" s="19"/>
      <c r="J98" s="20"/>
    </row>
    <row r="99" ht="13.5" customHeight="1">
      <c r="C99" s="112" t="s">
        <v>64</v>
      </c>
      <c r="F99" s="113" t="s">
        <v>52</v>
      </c>
      <c r="J99" s="114"/>
    </row>
    <row r="100" ht="13.5" customHeight="1">
      <c r="C100" s="121" t="s">
        <v>65</v>
      </c>
      <c r="D100" s="123"/>
      <c r="E100" s="123"/>
      <c r="F100" s="122" t="s">
        <v>56</v>
      </c>
      <c r="G100" s="123"/>
      <c r="H100" s="28"/>
      <c r="I100" s="28"/>
      <c r="J100" s="29"/>
    </row>
    <row r="101" ht="13.5" customHeight="1">
      <c r="I101" s="101"/>
    </row>
    <row r="102" ht="13.5" customHeight="1">
      <c r="I102" s="101"/>
    </row>
    <row r="103" ht="13.5" customHeight="1">
      <c r="I103" s="101"/>
    </row>
    <row r="104" ht="13.5" customHeight="1">
      <c r="I104" s="101"/>
    </row>
    <row r="105" ht="13.5" customHeight="1">
      <c r="I105" s="101"/>
    </row>
    <row r="106" ht="13.5" customHeight="1">
      <c r="I106" s="101"/>
    </row>
    <row r="107" ht="13.5" customHeight="1">
      <c r="I107" s="101"/>
    </row>
    <row r="108" ht="13.5" customHeight="1">
      <c r="I108" s="101"/>
    </row>
    <row r="109" ht="13.5" customHeight="1">
      <c r="I109" s="101"/>
    </row>
    <row r="110" ht="13.5" customHeight="1">
      <c r="I110" s="101"/>
    </row>
    <row r="111" ht="13.5" customHeight="1">
      <c r="I111" s="101"/>
    </row>
    <row r="112" ht="13.5" customHeight="1">
      <c r="I112" s="101"/>
    </row>
    <row r="113" ht="13.5" customHeight="1">
      <c r="I113" s="101"/>
    </row>
    <row r="114" ht="13.5" customHeight="1">
      <c r="I114" s="101"/>
    </row>
    <row r="115" ht="13.5" customHeight="1">
      <c r="I115" s="101"/>
    </row>
    <row r="116" ht="13.5" customHeight="1">
      <c r="I116" s="101"/>
    </row>
    <row r="117" ht="13.5" customHeight="1">
      <c r="I117" s="101"/>
    </row>
    <row r="118" ht="13.5" customHeight="1">
      <c r="I118" s="101"/>
    </row>
    <row r="119" ht="13.5" customHeight="1">
      <c r="I119" s="101"/>
    </row>
    <row r="120" ht="13.5" customHeight="1">
      <c r="I120" s="101"/>
    </row>
    <row r="121" ht="13.5" customHeight="1">
      <c r="I121" s="101"/>
    </row>
    <row r="122" ht="13.5" customHeight="1">
      <c r="I122" s="101"/>
    </row>
    <row r="123" ht="13.5" customHeight="1">
      <c r="I123" s="101"/>
    </row>
    <row r="124" ht="13.5" customHeight="1">
      <c r="I124" s="101"/>
    </row>
    <row r="125" ht="13.5" customHeight="1">
      <c r="I125" s="101"/>
    </row>
    <row r="126" ht="13.5" customHeight="1">
      <c r="I126" s="101"/>
    </row>
    <row r="127" ht="13.5" customHeight="1">
      <c r="I127" s="101"/>
    </row>
    <row r="128" ht="13.5" customHeight="1">
      <c r="I128" s="101"/>
    </row>
    <row r="129" ht="13.5" customHeight="1">
      <c r="I129" s="101"/>
    </row>
    <row r="130" ht="13.5" customHeight="1">
      <c r="I130" s="101"/>
    </row>
    <row r="131" ht="13.5" customHeight="1">
      <c r="I131" s="101"/>
    </row>
    <row r="132" ht="13.5" customHeight="1">
      <c r="I132" s="101"/>
    </row>
    <row r="133" ht="13.5" customHeight="1">
      <c r="I133" s="101"/>
    </row>
    <row r="134" ht="13.5" customHeight="1">
      <c r="I134" s="101"/>
    </row>
    <row r="135" ht="13.5" customHeight="1">
      <c r="I135" s="101"/>
    </row>
    <row r="136" ht="13.5" customHeight="1">
      <c r="I136" s="101"/>
    </row>
    <row r="137" ht="13.5" customHeight="1">
      <c r="I137" s="101"/>
    </row>
    <row r="138" ht="13.5" customHeight="1">
      <c r="I138" s="101"/>
    </row>
    <row r="139" ht="13.5" customHeight="1">
      <c r="I139" s="101"/>
    </row>
    <row r="140" ht="13.5" customHeight="1">
      <c r="I140" s="101"/>
    </row>
    <row r="141" ht="13.5" customHeight="1">
      <c r="I141" s="101"/>
    </row>
    <row r="142" ht="13.5" customHeight="1">
      <c r="I142" s="101"/>
    </row>
    <row r="143" ht="13.5" customHeight="1">
      <c r="I143" s="101"/>
    </row>
    <row r="144" ht="13.5" customHeight="1">
      <c r="I144" s="101"/>
    </row>
    <row r="145" ht="13.5" customHeight="1">
      <c r="I145" s="101"/>
    </row>
    <row r="146" ht="13.5" customHeight="1">
      <c r="I146" s="101"/>
    </row>
    <row r="147" ht="13.5" customHeight="1">
      <c r="I147" s="101"/>
    </row>
    <row r="148" ht="13.5" customHeight="1">
      <c r="I148" s="101"/>
    </row>
    <row r="149" ht="13.5" customHeight="1">
      <c r="I149" s="101"/>
    </row>
    <row r="150" ht="13.5" customHeight="1">
      <c r="I150" s="101"/>
    </row>
    <row r="151" ht="13.5" customHeight="1">
      <c r="I151" s="101"/>
    </row>
    <row r="152" ht="13.5" customHeight="1">
      <c r="I152" s="101"/>
    </row>
    <row r="153" ht="13.5" customHeight="1">
      <c r="I153" s="101"/>
    </row>
    <row r="154" ht="13.5" customHeight="1">
      <c r="I154" s="101"/>
    </row>
    <row r="155" ht="13.5" customHeight="1">
      <c r="I155" s="101"/>
    </row>
    <row r="156" ht="13.5" customHeight="1">
      <c r="I156" s="101"/>
    </row>
    <row r="157" ht="13.5" customHeight="1">
      <c r="I157" s="101"/>
    </row>
    <row r="158" ht="13.5" customHeight="1">
      <c r="I158" s="101"/>
    </row>
    <row r="159" ht="13.5" customHeight="1">
      <c r="I159" s="101"/>
    </row>
    <row r="160" ht="13.5" customHeight="1">
      <c r="I160" s="101"/>
    </row>
    <row r="161" ht="13.5" customHeight="1">
      <c r="I161" s="101"/>
    </row>
    <row r="162" ht="13.5" customHeight="1">
      <c r="I162" s="101"/>
    </row>
    <row r="163" ht="13.5" customHeight="1">
      <c r="I163" s="101"/>
    </row>
    <row r="164" ht="13.5" customHeight="1">
      <c r="I164" s="101"/>
    </row>
    <row r="165" ht="13.5" customHeight="1">
      <c r="I165" s="101"/>
    </row>
    <row r="166" ht="13.5" customHeight="1">
      <c r="I166" s="101"/>
    </row>
    <row r="167" ht="13.5" customHeight="1">
      <c r="I167" s="101"/>
    </row>
    <row r="168" ht="13.5" customHeight="1">
      <c r="I168" s="101"/>
    </row>
    <row r="169" ht="13.5" customHeight="1">
      <c r="I169" s="101"/>
    </row>
    <row r="170" ht="13.5" customHeight="1">
      <c r="I170" s="101"/>
    </row>
    <row r="171" ht="13.5" customHeight="1">
      <c r="I171" s="101"/>
    </row>
    <row r="172" ht="13.5" customHeight="1">
      <c r="I172" s="101"/>
    </row>
    <row r="173" ht="13.5" customHeight="1">
      <c r="I173" s="101"/>
    </row>
    <row r="174" ht="13.5" customHeight="1">
      <c r="I174" s="101"/>
    </row>
    <row r="175" ht="13.5" customHeight="1">
      <c r="I175" s="101"/>
    </row>
    <row r="176" ht="13.5" customHeight="1">
      <c r="I176" s="101"/>
    </row>
    <row r="177" ht="13.5" customHeight="1">
      <c r="I177" s="101"/>
    </row>
    <row r="178" ht="13.5" customHeight="1">
      <c r="I178" s="101"/>
    </row>
    <row r="179" ht="13.5" customHeight="1">
      <c r="I179" s="101"/>
    </row>
    <row r="180" ht="13.5" customHeight="1">
      <c r="I180" s="101"/>
    </row>
    <row r="181" ht="13.5" customHeight="1">
      <c r="I181" s="101"/>
    </row>
    <row r="182" ht="13.5" customHeight="1">
      <c r="I182" s="101"/>
    </row>
    <row r="183" ht="13.5" customHeight="1">
      <c r="I183" s="101"/>
    </row>
    <row r="184" ht="13.5" customHeight="1">
      <c r="I184" s="101"/>
    </row>
    <row r="185" ht="13.5" customHeight="1">
      <c r="I185" s="101"/>
    </row>
    <row r="186" ht="13.5" customHeight="1">
      <c r="I186" s="101"/>
    </row>
    <row r="187" ht="13.5" customHeight="1">
      <c r="I187" s="101"/>
    </row>
    <row r="188" ht="13.5" customHeight="1">
      <c r="I188" s="101"/>
    </row>
    <row r="189" ht="13.5" customHeight="1">
      <c r="I189" s="101"/>
    </row>
    <row r="190" ht="13.5" customHeight="1">
      <c r="I190" s="101"/>
    </row>
    <row r="191" ht="13.5" customHeight="1">
      <c r="I191" s="101"/>
    </row>
    <row r="192" ht="13.5" customHeight="1">
      <c r="I192" s="101"/>
    </row>
    <row r="193" ht="13.5" customHeight="1">
      <c r="I193" s="101"/>
    </row>
    <row r="194" ht="13.5" customHeight="1">
      <c r="I194" s="101"/>
    </row>
    <row r="195" ht="13.5" customHeight="1">
      <c r="I195" s="101"/>
    </row>
    <row r="196" ht="13.5" customHeight="1">
      <c r="I196" s="101"/>
    </row>
    <row r="197" ht="13.5" customHeight="1">
      <c r="I197" s="101"/>
    </row>
    <row r="198" ht="13.5" customHeight="1">
      <c r="I198" s="101"/>
    </row>
    <row r="199" ht="13.5" customHeight="1">
      <c r="I199" s="101"/>
    </row>
    <row r="200" ht="13.5" customHeight="1">
      <c r="I200" s="101"/>
    </row>
    <row r="201" ht="13.5" customHeight="1">
      <c r="I201" s="101"/>
    </row>
    <row r="202" ht="13.5" customHeight="1">
      <c r="I202" s="101"/>
    </row>
    <row r="203" ht="13.5" customHeight="1">
      <c r="I203" s="101"/>
    </row>
    <row r="204" ht="13.5" customHeight="1">
      <c r="I204" s="101"/>
    </row>
    <row r="205" ht="13.5" customHeight="1">
      <c r="I205" s="101"/>
    </row>
    <row r="206" ht="13.5" customHeight="1">
      <c r="I206" s="101"/>
    </row>
    <row r="207" ht="13.5" customHeight="1">
      <c r="I207" s="101"/>
    </row>
    <row r="208" ht="13.5" customHeight="1">
      <c r="I208" s="101"/>
    </row>
    <row r="209" ht="13.5" customHeight="1">
      <c r="I209" s="101"/>
    </row>
    <row r="210" ht="13.5" customHeight="1">
      <c r="I210" s="101"/>
    </row>
    <row r="211" ht="13.5" customHeight="1">
      <c r="I211" s="101"/>
    </row>
    <row r="212" ht="13.5" customHeight="1">
      <c r="I212" s="101"/>
    </row>
    <row r="213" ht="13.5" customHeight="1">
      <c r="I213" s="101"/>
    </row>
    <row r="214" ht="13.5" customHeight="1">
      <c r="I214" s="101"/>
    </row>
    <row r="215" ht="13.5" customHeight="1">
      <c r="I215" s="101"/>
    </row>
    <row r="216" ht="13.5" customHeight="1">
      <c r="I216" s="101"/>
    </row>
    <row r="217" ht="13.5" customHeight="1">
      <c r="I217" s="101"/>
    </row>
    <row r="218" ht="13.5" customHeight="1">
      <c r="I218" s="101"/>
    </row>
    <row r="219" ht="13.5" customHeight="1">
      <c r="I219" s="101"/>
    </row>
    <row r="220" ht="13.5" customHeight="1">
      <c r="I220" s="101"/>
    </row>
    <row r="221" ht="13.5" customHeight="1">
      <c r="I221" s="101"/>
    </row>
    <row r="222" ht="13.5" customHeight="1">
      <c r="I222" s="101"/>
    </row>
    <row r="223" ht="13.5" customHeight="1">
      <c r="I223" s="101"/>
    </row>
    <row r="224" ht="13.5" customHeight="1">
      <c r="I224" s="101"/>
    </row>
    <row r="225" ht="13.5" customHeight="1">
      <c r="I225" s="101"/>
    </row>
    <row r="226" ht="13.5" customHeight="1">
      <c r="I226" s="101"/>
    </row>
    <row r="227" ht="13.5" customHeight="1">
      <c r="I227" s="101"/>
    </row>
    <row r="228" ht="13.5" customHeight="1">
      <c r="I228" s="101"/>
    </row>
    <row r="229" ht="13.5" customHeight="1">
      <c r="I229" s="101"/>
    </row>
    <row r="230" ht="13.5" customHeight="1">
      <c r="I230" s="101"/>
    </row>
    <row r="231" ht="13.5" customHeight="1">
      <c r="I231" s="101"/>
    </row>
    <row r="232" ht="13.5" customHeight="1">
      <c r="I232" s="101"/>
    </row>
    <row r="233" ht="13.5" customHeight="1">
      <c r="I233" s="101"/>
    </row>
    <row r="234" ht="13.5" customHeight="1">
      <c r="I234" s="101"/>
    </row>
    <row r="235" ht="13.5" customHeight="1">
      <c r="I235" s="101"/>
    </row>
    <row r="236" ht="13.5" customHeight="1">
      <c r="I236" s="101"/>
    </row>
    <row r="237" ht="13.5" customHeight="1">
      <c r="I237" s="101"/>
    </row>
    <row r="238" ht="13.5" customHeight="1">
      <c r="I238" s="101"/>
    </row>
    <row r="239" ht="13.5" customHeight="1">
      <c r="I239" s="101"/>
    </row>
    <row r="240" ht="13.5" customHeight="1">
      <c r="I240" s="101"/>
    </row>
    <row r="241" ht="13.5" customHeight="1">
      <c r="I241" s="101"/>
    </row>
    <row r="242" ht="13.5" customHeight="1">
      <c r="I242" s="101"/>
    </row>
    <row r="243" ht="13.5" customHeight="1">
      <c r="I243" s="101"/>
    </row>
    <row r="244" ht="13.5" customHeight="1">
      <c r="I244" s="101"/>
    </row>
    <row r="245" ht="13.5" customHeight="1">
      <c r="I245" s="101"/>
    </row>
    <row r="246" ht="13.5" customHeight="1">
      <c r="I246" s="101"/>
    </row>
    <row r="247" ht="13.5" customHeight="1">
      <c r="I247" s="101"/>
    </row>
    <row r="248" ht="13.5" customHeight="1">
      <c r="I248" s="101"/>
    </row>
    <row r="249" ht="13.5" customHeight="1">
      <c r="I249" s="101"/>
    </row>
    <row r="250" ht="13.5" customHeight="1">
      <c r="I250" s="101"/>
    </row>
    <row r="251" ht="13.5" customHeight="1">
      <c r="I251" s="101"/>
    </row>
    <row r="252" ht="13.5" customHeight="1">
      <c r="I252" s="101"/>
    </row>
    <row r="253" ht="13.5" customHeight="1">
      <c r="I253" s="101"/>
    </row>
    <row r="254" ht="13.5" customHeight="1">
      <c r="I254" s="101"/>
    </row>
    <row r="255" ht="13.5" customHeight="1">
      <c r="I255" s="101"/>
    </row>
    <row r="256" ht="13.5" customHeight="1">
      <c r="I256" s="101"/>
    </row>
    <row r="257" ht="13.5" customHeight="1">
      <c r="I257" s="101"/>
    </row>
    <row r="258" ht="13.5" customHeight="1">
      <c r="I258" s="101"/>
    </row>
    <row r="259" ht="13.5" customHeight="1">
      <c r="I259" s="101"/>
    </row>
    <row r="260" ht="13.5" customHeight="1">
      <c r="I260" s="101"/>
    </row>
    <row r="261" ht="13.5" customHeight="1">
      <c r="I261" s="101"/>
    </row>
    <row r="262" ht="13.5" customHeight="1">
      <c r="I262" s="101"/>
    </row>
    <row r="263" ht="13.5" customHeight="1">
      <c r="I263" s="101"/>
    </row>
    <row r="264" ht="13.5" customHeight="1">
      <c r="I264" s="101"/>
    </row>
    <row r="265" ht="13.5" customHeight="1">
      <c r="I265" s="101"/>
    </row>
    <row r="266" ht="13.5" customHeight="1">
      <c r="I266" s="101"/>
    </row>
    <row r="267" ht="13.5" customHeight="1">
      <c r="I267" s="101"/>
    </row>
    <row r="268" ht="13.5" customHeight="1">
      <c r="I268" s="101"/>
    </row>
    <row r="269" ht="13.5" customHeight="1">
      <c r="I269" s="101"/>
    </row>
    <row r="270" ht="13.5" customHeight="1">
      <c r="I270" s="101"/>
    </row>
    <row r="271" ht="13.5" customHeight="1">
      <c r="I271" s="101"/>
    </row>
    <row r="272" ht="13.5" customHeight="1">
      <c r="I272" s="101"/>
    </row>
    <row r="273" ht="13.5" customHeight="1">
      <c r="I273" s="101"/>
    </row>
    <row r="274" ht="13.5" customHeight="1">
      <c r="I274" s="101"/>
    </row>
    <row r="275" ht="13.5" customHeight="1">
      <c r="I275" s="101"/>
    </row>
    <row r="276" ht="13.5" customHeight="1">
      <c r="I276" s="101"/>
    </row>
    <row r="277" ht="13.5" customHeight="1">
      <c r="I277" s="101"/>
    </row>
    <row r="278" ht="13.5" customHeight="1">
      <c r="I278" s="101"/>
    </row>
    <row r="279" ht="13.5" customHeight="1">
      <c r="I279" s="101"/>
    </row>
    <row r="280" ht="13.5" customHeight="1">
      <c r="I280" s="101"/>
    </row>
    <row r="281" ht="13.5" customHeight="1">
      <c r="I281" s="101"/>
    </row>
    <row r="282" ht="13.5" customHeight="1">
      <c r="I282" s="101"/>
    </row>
    <row r="283" ht="13.5" customHeight="1">
      <c r="I283" s="101"/>
    </row>
    <row r="284" ht="13.5" customHeight="1">
      <c r="I284" s="101"/>
    </row>
    <row r="285" ht="13.5" customHeight="1">
      <c r="I285" s="101"/>
    </row>
    <row r="286" ht="13.5" customHeight="1">
      <c r="I286" s="101"/>
    </row>
    <row r="287" ht="13.5" customHeight="1">
      <c r="I287" s="101"/>
    </row>
    <row r="288" ht="13.5" customHeight="1">
      <c r="I288" s="101"/>
    </row>
    <row r="289" ht="13.5" customHeight="1">
      <c r="I289" s="101"/>
    </row>
    <row r="290" ht="13.5" customHeight="1">
      <c r="I290" s="101"/>
    </row>
    <row r="291" ht="13.5" customHeight="1">
      <c r="I291" s="101"/>
    </row>
    <row r="292" ht="13.5" customHeight="1">
      <c r="I292" s="101"/>
    </row>
    <row r="293" ht="13.5" customHeight="1">
      <c r="I293" s="101"/>
    </row>
    <row r="294" ht="13.5" customHeight="1">
      <c r="I294" s="101"/>
    </row>
    <row r="295" ht="13.5" customHeight="1">
      <c r="I295" s="101"/>
    </row>
    <row r="296" ht="13.5" customHeight="1">
      <c r="I296" s="101"/>
    </row>
    <row r="297" ht="13.5" customHeight="1">
      <c r="I297" s="101"/>
    </row>
    <row r="298" ht="13.5" customHeight="1">
      <c r="I298" s="101"/>
    </row>
    <row r="299" ht="13.5" customHeight="1">
      <c r="I299" s="101"/>
    </row>
    <row r="300" ht="13.5" customHeight="1">
      <c r="I300" s="101"/>
    </row>
    <row r="301" ht="13.5" customHeight="1">
      <c r="I301" s="101"/>
    </row>
    <row r="302" ht="13.5" customHeight="1">
      <c r="I302" s="101"/>
    </row>
    <row r="303" ht="13.5" customHeight="1">
      <c r="I303" s="101"/>
    </row>
    <row r="304" ht="13.5" customHeight="1">
      <c r="I304" s="101"/>
    </row>
    <row r="305" ht="13.5" customHeight="1">
      <c r="I305" s="101"/>
    </row>
    <row r="306" ht="13.5" customHeight="1">
      <c r="I306" s="101"/>
    </row>
    <row r="307" ht="13.5" customHeight="1">
      <c r="I307" s="101"/>
    </row>
    <row r="308" ht="13.5" customHeight="1">
      <c r="I308" s="101"/>
    </row>
    <row r="309" ht="13.5" customHeight="1">
      <c r="I309" s="101"/>
    </row>
    <row r="310" ht="13.5" customHeight="1">
      <c r="I310" s="101"/>
    </row>
    <row r="311" ht="13.5" customHeight="1">
      <c r="I311" s="101"/>
    </row>
    <row r="312" ht="13.5" customHeight="1">
      <c r="I312" s="101"/>
    </row>
    <row r="313" ht="13.5" customHeight="1">
      <c r="I313" s="101"/>
    </row>
    <row r="314" ht="13.5" customHeight="1">
      <c r="I314" s="101"/>
    </row>
    <row r="315" ht="13.5" customHeight="1">
      <c r="I315" s="101"/>
    </row>
    <row r="316" ht="13.5" customHeight="1">
      <c r="I316" s="101"/>
    </row>
    <row r="317" ht="13.5" customHeight="1">
      <c r="I317" s="101"/>
    </row>
    <row r="318" ht="13.5" customHeight="1">
      <c r="I318" s="101"/>
    </row>
    <row r="319" ht="13.5" customHeight="1">
      <c r="I319" s="101"/>
    </row>
    <row r="320" ht="13.5" customHeight="1">
      <c r="I320" s="101"/>
    </row>
    <row r="321" ht="13.5" customHeight="1">
      <c r="I321" s="101"/>
    </row>
    <row r="322" ht="13.5" customHeight="1">
      <c r="I322" s="101"/>
    </row>
    <row r="323" ht="13.5" customHeight="1">
      <c r="I323" s="101"/>
    </row>
    <row r="324" ht="13.5" customHeight="1">
      <c r="I324" s="101"/>
    </row>
    <row r="325" ht="13.5" customHeight="1">
      <c r="I325" s="101"/>
    </row>
    <row r="326" ht="13.5" customHeight="1">
      <c r="I326" s="101"/>
    </row>
    <row r="327" ht="13.5" customHeight="1">
      <c r="I327" s="101"/>
    </row>
    <row r="328" ht="13.5" customHeight="1">
      <c r="I328" s="101"/>
    </row>
    <row r="329" ht="13.5" customHeight="1">
      <c r="I329" s="101"/>
    </row>
    <row r="330" ht="13.5" customHeight="1">
      <c r="I330" s="101"/>
    </row>
    <row r="331" ht="13.5" customHeight="1">
      <c r="I331" s="101"/>
    </row>
    <row r="332" ht="13.5" customHeight="1">
      <c r="I332" s="101"/>
    </row>
    <row r="333" ht="13.5" customHeight="1">
      <c r="I333" s="101"/>
    </row>
    <row r="334" ht="13.5" customHeight="1">
      <c r="I334" s="101"/>
    </row>
    <row r="335" ht="13.5" customHeight="1">
      <c r="I335" s="101"/>
    </row>
    <row r="336" ht="13.5" customHeight="1">
      <c r="I336" s="101"/>
    </row>
    <row r="337" ht="13.5" customHeight="1">
      <c r="I337" s="101"/>
    </row>
    <row r="338" ht="13.5" customHeight="1">
      <c r="I338" s="101"/>
    </row>
    <row r="339" ht="13.5" customHeight="1">
      <c r="I339" s="101"/>
    </row>
    <row r="340" ht="13.5" customHeight="1">
      <c r="I340" s="101"/>
    </row>
    <row r="341" ht="13.5" customHeight="1">
      <c r="I341" s="101"/>
    </row>
    <row r="342" ht="13.5" customHeight="1">
      <c r="I342" s="101"/>
    </row>
    <row r="343" ht="13.5" customHeight="1">
      <c r="I343" s="101"/>
    </row>
    <row r="344" ht="13.5" customHeight="1">
      <c r="I344" s="101"/>
    </row>
    <row r="345" ht="13.5" customHeight="1">
      <c r="I345" s="101"/>
    </row>
    <row r="346" ht="13.5" customHeight="1">
      <c r="I346" s="101"/>
    </row>
    <row r="347" ht="13.5" customHeight="1">
      <c r="I347" s="101"/>
    </row>
    <row r="348" ht="13.5" customHeight="1">
      <c r="I348" s="101"/>
    </row>
    <row r="349" ht="13.5" customHeight="1">
      <c r="I349" s="101"/>
    </row>
    <row r="350" ht="13.5" customHeight="1">
      <c r="I350" s="101"/>
    </row>
    <row r="351" ht="13.5" customHeight="1">
      <c r="I351" s="101"/>
    </row>
    <row r="352" ht="13.5" customHeight="1">
      <c r="I352" s="101"/>
    </row>
    <row r="353" ht="13.5" customHeight="1">
      <c r="I353" s="101"/>
    </row>
    <row r="354" ht="13.5" customHeight="1">
      <c r="I354" s="101"/>
    </row>
    <row r="355" ht="13.5" customHeight="1">
      <c r="I355" s="101"/>
    </row>
    <row r="356" ht="13.5" customHeight="1">
      <c r="I356" s="101"/>
    </row>
    <row r="357" ht="13.5" customHeight="1">
      <c r="I357" s="101"/>
    </row>
    <row r="358" ht="13.5" customHeight="1">
      <c r="I358" s="101"/>
    </row>
    <row r="359" ht="13.5" customHeight="1">
      <c r="I359" s="101"/>
    </row>
    <row r="360" ht="13.5" customHeight="1">
      <c r="I360" s="101"/>
    </row>
    <row r="361" ht="13.5" customHeight="1">
      <c r="I361" s="101"/>
    </row>
    <row r="362" ht="13.5" customHeight="1">
      <c r="I362" s="101"/>
    </row>
    <row r="363" ht="13.5" customHeight="1">
      <c r="I363" s="101"/>
    </row>
    <row r="364" ht="13.5" customHeight="1">
      <c r="I364" s="101"/>
    </row>
    <row r="365" ht="13.5" customHeight="1">
      <c r="I365" s="101"/>
    </row>
    <row r="366" ht="13.5" customHeight="1">
      <c r="I366" s="101"/>
    </row>
    <row r="367" ht="13.5" customHeight="1">
      <c r="I367" s="101"/>
    </row>
    <row r="368" ht="13.5" customHeight="1">
      <c r="I368" s="101"/>
    </row>
    <row r="369" ht="13.5" customHeight="1">
      <c r="I369" s="101"/>
    </row>
    <row r="370" ht="13.5" customHeight="1">
      <c r="I370" s="101"/>
    </row>
    <row r="371" ht="13.5" customHeight="1">
      <c r="I371" s="101"/>
    </row>
    <row r="372" ht="13.5" customHeight="1">
      <c r="I372" s="101"/>
    </row>
    <row r="373" ht="13.5" customHeight="1">
      <c r="I373" s="101"/>
    </row>
    <row r="374" ht="13.5" customHeight="1">
      <c r="I374" s="101"/>
    </row>
    <row r="375" ht="13.5" customHeight="1">
      <c r="I375" s="101"/>
    </row>
    <row r="376" ht="13.5" customHeight="1">
      <c r="I376" s="101"/>
    </row>
    <row r="377" ht="13.5" customHeight="1">
      <c r="I377" s="101"/>
    </row>
    <row r="378" ht="13.5" customHeight="1">
      <c r="I378" s="101"/>
    </row>
    <row r="379" ht="13.5" customHeight="1">
      <c r="I379" s="101"/>
    </row>
    <row r="380" ht="13.5" customHeight="1">
      <c r="I380" s="101"/>
    </row>
    <row r="381" ht="13.5" customHeight="1">
      <c r="I381" s="101"/>
    </row>
    <row r="382" ht="13.5" customHeight="1">
      <c r="I382" s="101"/>
    </row>
    <row r="383" ht="13.5" customHeight="1">
      <c r="I383" s="101"/>
    </row>
    <row r="384" ht="13.5" customHeight="1">
      <c r="I384" s="101"/>
    </row>
    <row r="385" ht="13.5" customHeight="1">
      <c r="I385" s="101"/>
    </row>
    <row r="386" ht="13.5" customHeight="1">
      <c r="I386" s="101"/>
    </row>
    <row r="387" ht="13.5" customHeight="1">
      <c r="I387" s="101"/>
    </row>
    <row r="388" ht="13.5" customHeight="1">
      <c r="I388" s="101"/>
    </row>
    <row r="389" ht="13.5" customHeight="1">
      <c r="I389" s="101"/>
    </row>
    <row r="390" ht="13.5" customHeight="1">
      <c r="I390" s="101"/>
    </row>
    <row r="391" ht="13.5" customHeight="1">
      <c r="I391" s="101"/>
    </row>
    <row r="392" ht="13.5" customHeight="1">
      <c r="I392" s="101"/>
    </row>
    <row r="393" ht="13.5" customHeight="1">
      <c r="I393" s="101"/>
    </row>
    <row r="394" ht="13.5" customHeight="1">
      <c r="I394" s="101"/>
    </row>
    <row r="395" ht="13.5" customHeight="1">
      <c r="I395" s="101"/>
    </row>
    <row r="396" ht="13.5" customHeight="1">
      <c r="I396" s="101"/>
    </row>
    <row r="397" ht="13.5" customHeight="1">
      <c r="I397" s="101"/>
    </row>
    <row r="398" ht="13.5" customHeight="1">
      <c r="I398" s="101"/>
    </row>
    <row r="399" ht="13.5" customHeight="1">
      <c r="I399" s="101"/>
    </row>
    <row r="400" ht="13.5" customHeight="1">
      <c r="I400" s="101"/>
    </row>
    <row r="401" ht="13.5" customHeight="1">
      <c r="I401" s="101"/>
    </row>
    <row r="402" ht="13.5" customHeight="1">
      <c r="I402" s="101"/>
    </row>
    <row r="403" ht="13.5" customHeight="1">
      <c r="I403" s="101"/>
    </row>
    <row r="404" ht="13.5" customHeight="1">
      <c r="I404" s="101"/>
    </row>
    <row r="405" ht="13.5" customHeight="1">
      <c r="I405" s="101"/>
    </row>
    <row r="406" ht="13.5" customHeight="1">
      <c r="I406" s="101"/>
    </row>
    <row r="407" ht="13.5" customHeight="1">
      <c r="I407" s="101"/>
    </row>
    <row r="408" ht="13.5" customHeight="1">
      <c r="I408" s="101"/>
    </row>
    <row r="409" ht="13.5" customHeight="1">
      <c r="I409" s="101"/>
    </row>
    <row r="410" ht="13.5" customHeight="1">
      <c r="I410" s="101"/>
    </row>
    <row r="411" ht="13.5" customHeight="1">
      <c r="I411" s="101"/>
    </row>
    <row r="412" ht="13.5" customHeight="1">
      <c r="I412" s="101"/>
    </row>
    <row r="413" ht="13.5" customHeight="1">
      <c r="I413" s="101"/>
    </row>
    <row r="414" ht="13.5" customHeight="1">
      <c r="I414" s="101"/>
    </row>
    <row r="415" ht="13.5" customHeight="1">
      <c r="I415" s="101"/>
    </row>
    <row r="416" ht="13.5" customHeight="1">
      <c r="I416" s="101"/>
    </row>
    <row r="417" ht="13.5" customHeight="1">
      <c r="I417" s="101"/>
    </row>
    <row r="418" ht="13.5" customHeight="1">
      <c r="I418" s="101"/>
    </row>
    <row r="419" ht="13.5" customHeight="1">
      <c r="I419" s="101"/>
    </row>
    <row r="420" ht="13.5" customHeight="1">
      <c r="I420" s="101"/>
    </row>
    <row r="421" ht="13.5" customHeight="1">
      <c r="I421" s="101"/>
    </row>
    <row r="422" ht="13.5" customHeight="1">
      <c r="I422" s="101"/>
    </row>
    <row r="423" ht="13.5" customHeight="1">
      <c r="I423" s="101"/>
    </row>
    <row r="424" ht="13.5" customHeight="1">
      <c r="I424" s="101"/>
    </row>
    <row r="425" ht="13.5" customHeight="1">
      <c r="I425" s="101"/>
    </row>
    <row r="426" ht="13.5" customHeight="1">
      <c r="I426" s="101"/>
    </row>
    <row r="427" ht="13.5" customHeight="1">
      <c r="I427" s="101"/>
    </row>
    <row r="428" ht="13.5" customHeight="1">
      <c r="I428" s="101"/>
    </row>
    <row r="429" ht="13.5" customHeight="1">
      <c r="I429" s="101"/>
    </row>
    <row r="430" ht="13.5" customHeight="1">
      <c r="I430" s="101"/>
    </row>
    <row r="431" ht="13.5" customHeight="1">
      <c r="I431" s="101"/>
    </row>
    <row r="432" ht="13.5" customHeight="1">
      <c r="I432" s="101"/>
    </row>
    <row r="433" ht="13.5" customHeight="1">
      <c r="I433" s="101"/>
    </row>
    <row r="434" ht="13.5" customHeight="1">
      <c r="I434" s="101"/>
    </row>
    <row r="435" ht="13.5" customHeight="1">
      <c r="I435" s="101"/>
    </row>
    <row r="436" ht="13.5" customHeight="1">
      <c r="I436" s="101"/>
    </row>
    <row r="437" ht="13.5" customHeight="1">
      <c r="I437" s="101"/>
    </row>
    <row r="438" ht="13.5" customHeight="1">
      <c r="I438" s="101"/>
    </row>
    <row r="439" ht="13.5" customHeight="1">
      <c r="I439" s="101"/>
    </row>
    <row r="440" ht="13.5" customHeight="1">
      <c r="I440" s="101"/>
    </row>
    <row r="441" ht="13.5" customHeight="1">
      <c r="I441" s="101"/>
    </row>
    <row r="442" ht="13.5" customHeight="1">
      <c r="I442" s="101"/>
    </row>
    <row r="443" ht="13.5" customHeight="1">
      <c r="I443" s="101"/>
    </row>
    <row r="444" ht="13.5" customHeight="1">
      <c r="I444" s="101"/>
    </row>
    <row r="445" ht="13.5" customHeight="1">
      <c r="I445" s="101"/>
    </row>
    <row r="446" ht="13.5" customHeight="1">
      <c r="I446" s="101"/>
    </row>
    <row r="447" ht="13.5" customHeight="1">
      <c r="I447" s="101"/>
    </row>
    <row r="448" ht="13.5" customHeight="1">
      <c r="I448" s="101"/>
    </row>
    <row r="449" ht="13.5" customHeight="1">
      <c r="I449" s="101"/>
    </row>
    <row r="450" ht="13.5" customHeight="1">
      <c r="I450" s="101"/>
    </row>
    <row r="451" ht="13.5" customHeight="1">
      <c r="I451" s="101"/>
    </row>
    <row r="452" ht="13.5" customHeight="1">
      <c r="I452" s="101"/>
    </row>
    <row r="453" ht="13.5" customHeight="1">
      <c r="I453" s="101"/>
    </row>
    <row r="454" ht="13.5" customHeight="1">
      <c r="I454" s="101"/>
    </row>
    <row r="455" ht="13.5" customHeight="1">
      <c r="I455" s="101"/>
    </row>
    <row r="456" ht="13.5" customHeight="1">
      <c r="I456" s="101"/>
    </row>
    <row r="457" ht="13.5" customHeight="1">
      <c r="I457" s="101"/>
    </row>
    <row r="458" ht="13.5" customHeight="1">
      <c r="I458" s="101"/>
    </row>
    <row r="459" ht="13.5" customHeight="1">
      <c r="I459" s="101"/>
    </row>
    <row r="460" ht="13.5" customHeight="1">
      <c r="I460" s="101"/>
    </row>
    <row r="461" ht="13.5" customHeight="1">
      <c r="I461" s="101"/>
    </row>
    <row r="462" ht="13.5" customHeight="1">
      <c r="I462" s="101"/>
    </row>
    <row r="463" ht="13.5" customHeight="1">
      <c r="I463" s="101"/>
    </row>
    <row r="464" ht="13.5" customHeight="1">
      <c r="I464" s="101"/>
    </row>
    <row r="465" ht="13.5" customHeight="1">
      <c r="I465" s="101"/>
    </row>
    <row r="466" ht="13.5" customHeight="1">
      <c r="I466" s="101"/>
    </row>
    <row r="467" ht="13.5" customHeight="1">
      <c r="I467" s="101"/>
    </row>
    <row r="468" ht="13.5" customHeight="1">
      <c r="I468" s="101"/>
    </row>
    <row r="469" ht="13.5" customHeight="1">
      <c r="I469" s="101"/>
    </row>
    <row r="470" ht="13.5" customHeight="1">
      <c r="I470" s="101"/>
    </row>
    <row r="471" ht="13.5" customHeight="1">
      <c r="I471" s="101"/>
    </row>
    <row r="472" ht="13.5" customHeight="1">
      <c r="I472" s="101"/>
    </row>
    <row r="473" ht="13.5" customHeight="1">
      <c r="I473" s="101"/>
    </row>
    <row r="474" ht="13.5" customHeight="1">
      <c r="I474" s="101"/>
    </row>
    <row r="475" ht="13.5" customHeight="1">
      <c r="I475" s="101"/>
    </row>
    <row r="476" ht="13.5" customHeight="1">
      <c r="I476" s="101"/>
    </row>
    <row r="477" ht="13.5" customHeight="1">
      <c r="I477" s="101"/>
    </row>
    <row r="478" ht="13.5" customHeight="1">
      <c r="I478" s="101"/>
    </row>
    <row r="479" ht="13.5" customHeight="1">
      <c r="I479" s="101"/>
    </row>
    <row r="480" ht="13.5" customHeight="1">
      <c r="I480" s="101"/>
    </row>
    <row r="481" ht="13.5" customHeight="1">
      <c r="I481" s="101"/>
    </row>
    <row r="482" ht="13.5" customHeight="1">
      <c r="I482" s="101"/>
    </row>
    <row r="483" ht="13.5" customHeight="1">
      <c r="I483" s="101"/>
    </row>
    <row r="484" ht="13.5" customHeight="1">
      <c r="I484" s="101"/>
    </row>
    <row r="485" ht="13.5" customHeight="1">
      <c r="I485" s="101"/>
    </row>
    <row r="486" ht="13.5" customHeight="1">
      <c r="I486" s="101"/>
    </row>
    <row r="487" ht="13.5" customHeight="1">
      <c r="I487" s="101"/>
    </row>
    <row r="488" ht="13.5" customHeight="1">
      <c r="I488" s="101"/>
    </row>
    <row r="489" ht="13.5" customHeight="1">
      <c r="I489" s="101"/>
    </row>
    <row r="490" ht="13.5" customHeight="1">
      <c r="I490" s="101"/>
    </row>
    <row r="491" ht="13.5" customHeight="1">
      <c r="I491" s="101"/>
    </row>
    <row r="492" ht="13.5" customHeight="1">
      <c r="I492" s="101"/>
    </row>
    <row r="493" ht="13.5" customHeight="1">
      <c r="I493" s="101"/>
    </row>
    <row r="494" ht="13.5" customHeight="1">
      <c r="I494" s="101"/>
    </row>
    <row r="495" ht="13.5" customHeight="1">
      <c r="I495" s="101"/>
    </row>
    <row r="496" ht="13.5" customHeight="1">
      <c r="I496" s="101"/>
    </row>
    <row r="497" ht="13.5" customHeight="1">
      <c r="I497" s="101"/>
    </row>
    <row r="498" ht="13.5" customHeight="1">
      <c r="I498" s="101"/>
    </row>
    <row r="499" ht="13.5" customHeight="1">
      <c r="I499" s="101"/>
    </row>
    <row r="500" ht="13.5" customHeight="1">
      <c r="I500" s="101"/>
    </row>
    <row r="501" ht="13.5" customHeight="1">
      <c r="I501" s="101"/>
    </row>
    <row r="502" ht="13.5" customHeight="1">
      <c r="I502" s="101"/>
    </row>
    <row r="503" ht="13.5" customHeight="1">
      <c r="I503" s="101"/>
    </row>
    <row r="504" ht="13.5" customHeight="1">
      <c r="I504" s="101"/>
    </row>
    <row r="505" ht="13.5" customHeight="1">
      <c r="I505" s="101"/>
    </row>
    <row r="506" ht="13.5" customHeight="1">
      <c r="I506" s="101"/>
    </row>
    <row r="507" ht="13.5" customHeight="1">
      <c r="I507" s="101"/>
    </row>
    <row r="508" ht="13.5" customHeight="1">
      <c r="I508" s="101"/>
    </row>
    <row r="509" ht="13.5" customHeight="1">
      <c r="I509" s="101"/>
    </row>
    <row r="510" ht="13.5" customHeight="1">
      <c r="I510" s="101"/>
    </row>
    <row r="511" ht="13.5" customHeight="1">
      <c r="I511" s="101"/>
    </row>
    <row r="512" ht="13.5" customHeight="1">
      <c r="I512" s="101"/>
    </row>
    <row r="513" ht="13.5" customHeight="1">
      <c r="I513" s="101"/>
    </row>
    <row r="514" ht="13.5" customHeight="1">
      <c r="I514" s="101"/>
    </row>
    <row r="515" ht="13.5" customHeight="1">
      <c r="I515" s="101"/>
    </row>
    <row r="516" ht="13.5" customHeight="1">
      <c r="I516" s="101"/>
    </row>
    <row r="517" ht="13.5" customHeight="1">
      <c r="I517" s="101"/>
    </row>
    <row r="518" ht="13.5" customHeight="1">
      <c r="I518" s="101"/>
    </row>
    <row r="519" ht="13.5" customHeight="1">
      <c r="I519" s="101"/>
    </row>
    <row r="520" ht="13.5" customHeight="1">
      <c r="I520" s="101"/>
    </row>
    <row r="521" ht="13.5" customHeight="1">
      <c r="I521" s="101"/>
    </row>
    <row r="522" ht="13.5" customHeight="1">
      <c r="I522" s="101"/>
    </row>
    <row r="523" ht="13.5" customHeight="1">
      <c r="I523" s="101"/>
    </row>
    <row r="524" ht="13.5" customHeight="1">
      <c r="I524" s="101"/>
    </row>
    <row r="525" ht="13.5" customHeight="1">
      <c r="I525" s="101"/>
    </row>
    <row r="526" ht="13.5" customHeight="1">
      <c r="I526" s="101"/>
    </row>
    <row r="527" ht="13.5" customHeight="1">
      <c r="I527" s="101"/>
    </row>
    <row r="528" ht="13.5" customHeight="1">
      <c r="I528" s="101"/>
    </row>
    <row r="529" ht="13.5" customHeight="1">
      <c r="I529" s="101"/>
    </row>
    <row r="530" ht="13.5" customHeight="1">
      <c r="I530" s="101"/>
    </row>
    <row r="531" ht="13.5" customHeight="1">
      <c r="I531" s="101"/>
    </row>
    <row r="532" ht="13.5" customHeight="1">
      <c r="I532" s="101"/>
    </row>
    <row r="533" ht="13.5" customHeight="1">
      <c r="I533" s="101"/>
    </row>
    <row r="534" ht="13.5" customHeight="1">
      <c r="I534" s="101"/>
    </row>
    <row r="535" ht="13.5" customHeight="1">
      <c r="I535" s="101"/>
    </row>
    <row r="536" ht="13.5" customHeight="1">
      <c r="I536" s="101"/>
    </row>
    <row r="537" ht="13.5" customHeight="1">
      <c r="I537" s="101"/>
    </row>
    <row r="538" ht="13.5" customHeight="1">
      <c r="I538" s="101"/>
    </row>
    <row r="539" ht="13.5" customHeight="1">
      <c r="I539" s="101"/>
    </row>
    <row r="540" ht="13.5" customHeight="1">
      <c r="I540" s="101"/>
    </row>
    <row r="541" ht="13.5" customHeight="1">
      <c r="I541" s="101"/>
    </row>
    <row r="542" ht="13.5" customHeight="1">
      <c r="I542" s="101"/>
    </row>
    <row r="543" ht="13.5" customHeight="1">
      <c r="I543" s="101"/>
    </row>
    <row r="544" ht="13.5" customHeight="1">
      <c r="I544" s="101"/>
    </row>
    <row r="545" ht="13.5" customHeight="1">
      <c r="I545" s="101"/>
    </row>
    <row r="546" ht="13.5" customHeight="1">
      <c r="I546" s="101"/>
    </row>
    <row r="547" ht="13.5" customHeight="1">
      <c r="I547" s="101"/>
    </row>
    <row r="548" ht="13.5" customHeight="1">
      <c r="I548" s="101"/>
    </row>
    <row r="549" ht="13.5" customHeight="1">
      <c r="I549" s="101"/>
    </row>
    <row r="550" ht="13.5" customHeight="1">
      <c r="I550" s="101"/>
    </row>
    <row r="551" ht="13.5" customHeight="1">
      <c r="I551" s="101"/>
    </row>
    <row r="552" ht="13.5" customHeight="1">
      <c r="I552" s="101"/>
    </row>
    <row r="553" ht="13.5" customHeight="1">
      <c r="I553" s="101"/>
    </row>
    <row r="554" ht="13.5" customHeight="1">
      <c r="I554" s="101"/>
    </row>
    <row r="555" ht="13.5" customHeight="1">
      <c r="I555" s="101"/>
    </row>
    <row r="556" ht="13.5" customHeight="1">
      <c r="I556" s="101"/>
    </row>
    <row r="557" ht="13.5" customHeight="1">
      <c r="I557" s="101"/>
    </row>
    <row r="558" ht="13.5" customHeight="1">
      <c r="I558" s="101"/>
    </row>
    <row r="559" ht="13.5" customHeight="1">
      <c r="I559" s="101"/>
    </row>
    <row r="560" ht="13.5" customHeight="1">
      <c r="I560" s="101"/>
    </row>
    <row r="561" ht="13.5" customHeight="1">
      <c r="I561" s="101"/>
    </row>
    <row r="562" ht="13.5" customHeight="1">
      <c r="I562" s="101"/>
    </row>
    <row r="563" ht="13.5" customHeight="1">
      <c r="I563" s="101"/>
    </row>
    <row r="564" ht="13.5" customHeight="1">
      <c r="I564" s="101"/>
    </row>
    <row r="565" ht="13.5" customHeight="1">
      <c r="I565" s="101"/>
    </row>
    <row r="566" ht="13.5" customHeight="1">
      <c r="I566" s="101"/>
    </row>
    <row r="567" ht="13.5" customHeight="1">
      <c r="I567" s="101"/>
    </row>
    <row r="568" ht="13.5" customHeight="1">
      <c r="I568" s="101"/>
    </row>
    <row r="569" ht="13.5" customHeight="1">
      <c r="I569" s="101"/>
    </row>
    <row r="570" ht="13.5" customHeight="1">
      <c r="I570" s="101"/>
    </row>
    <row r="571" ht="13.5" customHeight="1">
      <c r="I571" s="101"/>
    </row>
    <row r="572" ht="13.5" customHeight="1">
      <c r="I572" s="101"/>
    </row>
    <row r="573" ht="13.5" customHeight="1">
      <c r="I573" s="101"/>
    </row>
    <row r="574" ht="13.5" customHeight="1">
      <c r="I574" s="101"/>
    </row>
    <row r="575" ht="13.5" customHeight="1">
      <c r="I575" s="101"/>
    </row>
    <row r="576" ht="13.5" customHeight="1">
      <c r="I576" s="101"/>
    </row>
    <row r="577" ht="13.5" customHeight="1">
      <c r="I577" s="101"/>
    </row>
    <row r="578" ht="13.5" customHeight="1">
      <c r="I578" s="101"/>
    </row>
    <row r="579" ht="13.5" customHeight="1">
      <c r="I579" s="101"/>
    </row>
    <row r="580" ht="13.5" customHeight="1">
      <c r="I580" s="101"/>
    </row>
    <row r="581" ht="13.5" customHeight="1">
      <c r="I581" s="101"/>
    </row>
    <row r="582" ht="13.5" customHeight="1">
      <c r="I582" s="101"/>
    </row>
    <row r="583" ht="13.5" customHeight="1">
      <c r="I583" s="101"/>
    </row>
    <row r="584" ht="13.5" customHeight="1">
      <c r="I584" s="101"/>
    </row>
    <row r="585" ht="13.5" customHeight="1">
      <c r="I585" s="101"/>
    </row>
    <row r="586" ht="13.5" customHeight="1">
      <c r="I586" s="101"/>
    </row>
    <row r="587" ht="13.5" customHeight="1">
      <c r="I587" s="101"/>
    </row>
    <row r="588" ht="13.5" customHeight="1">
      <c r="I588" s="101"/>
    </row>
    <row r="589" ht="13.5" customHeight="1">
      <c r="I589" s="101"/>
    </row>
    <row r="590" ht="13.5" customHeight="1">
      <c r="I590" s="101"/>
    </row>
    <row r="591" ht="13.5" customHeight="1">
      <c r="I591" s="101"/>
    </row>
    <row r="592" ht="13.5" customHeight="1">
      <c r="I592" s="101"/>
    </row>
    <row r="593" ht="13.5" customHeight="1">
      <c r="I593" s="101"/>
    </row>
    <row r="594" ht="13.5" customHeight="1">
      <c r="I594" s="101"/>
    </row>
    <row r="595" ht="13.5" customHeight="1">
      <c r="I595" s="101"/>
    </row>
    <row r="596" ht="13.5" customHeight="1">
      <c r="I596" s="101"/>
    </row>
    <row r="597" ht="13.5" customHeight="1">
      <c r="I597" s="101"/>
    </row>
    <row r="598" ht="13.5" customHeight="1">
      <c r="I598" s="101"/>
    </row>
    <row r="599" ht="13.5" customHeight="1">
      <c r="I599" s="101"/>
    </row>
    <row r="600" ht="13.5" customHeight="1">
      <c r="I600" s="101"/>
    </row>
    <row r="601" ht="13.5" customHeight="1">
      <c r="I601" s="101"/>
    </row>
    <row r="602" ht="13.5" customHeight="1">
      <c r="I602" s="101"/>
    </row>
    <row r="603" ht="13.5" customHeight="1">
      <c r="I603" s="101"/>
    </row>
    <row r="604" ht="13.5" customHeight="1">
      <c r="I604" s="101"/>
    </row>
    <row r="605" ht="13.5" customHeight="1">
      <c r="I605" s="101"/>
    </row>
    <row r="606" ht="13.5" customHeight="1">
      <c r="I606" s="101"/>
    </row>
    <row r="607" ht="13.5" customHeight="1">
      <c r="I607" s="101"/>
    </row>
    <row r="608" ht="13.5" customHeight="1">
      <c r="I608" s="101"/>
    </row>
    <row r="609" ht="13.5" customHeight="1">
      <c r="I609" s="101"/>
    </row>
    <row r="610" ht="13.5" customHeight="1">
      <c r="I610" s="101"/>
    </row>
    <row r="611" ht="13.5" customHeight="1">
      <c r="I611" s="101"/>
    </row>
    <row r="612" ht="13.5" customHeight="1">
      <c r="I612" s="101"/>
    </row>
    <row r="613" ht="13.5" customHeight="1">
      <c r="I613" s="101"/>
    </row>
    <row r="614" ht="13.5" customHeight="1">
      <c r="I614" s="101"/>
    </row>
    <row r="615" ht="13.5" customHeight="1">
      <c r="I615" s="101"/>
    </row>
    <row r="616" ht="13.5" customHeight="1">
      <c r="I616" s="101"/>
    </row>
    <row r="617" ht="13.5" customHeight="1">
      <c r="I617" s="101"/>
    </row>
    <row r="618" ht="13.5" customHeight="1">
      <c r="I618" s="101"/>
    </row>
    <row r="619" ht="13.5" customHeight="1">
      <c r="I619" s="101"/>
    </row>
    <row r="620" ht="13.5" customHeight="1">
      <c r="I620" s="101"/>
    </row>
    <row r="621" ht="13.5" customHeight="1">
      <c r="I621" s="101"/>
    </row>
    <row r="622" ht="13.5" customHeight="1">
      <c r="I622" s="101"/>
    </row>
    <row r="623" ht="13.5" customHeight="1">
      <c r="I623" s="101"/>
    </row>
    <row r="624" ht="13.5" customHeight="1">
      <c r="I624" s="101"/>
    </row>
    <row r="625" ht="13.5" customHeight="1">
      <c r="I625" s="101"/>
    </row>
    <row r="626" ht="13.5" customHeight="1">
      <c r="I626" s="101"/>
    </row>
    <row r="627" ht="13.5" customHeight="1">
      <c r="I627" s="101"/>
    </row>
    <row r="628" ht="13.5" customHeight="1">
      <c r="I628" s="101"/>
    </row>
    <row r="629" ht="13.5" customHeight="1">
      <c r="I629" s="101"/>
    </row>
    <row r="630" ht="13.5" customHeight="1">
      <c r="I630" s="101"/>
    </row>
    <row r="631" ht="13.5" customHeight="1">
      <c r="I631" s="101"/>
    </row>
    <row r="632" ht="13.5" customHeight="1">
      <c r="I632" s="101"/>
    </row>
    <row r="633" ht="13.5" customHeight="1">
      <c r="I633" s="101"/>
    </row>
    <row r="634" ht="13.5" customHeight="1">
      <c r="I634" s="101"/>
    </row>
    <row r="635" ht="13.5" customHeight="1">
      <c r="I635" s="101"/>
    </row>
    <row r="636" ht="13.5" customHeight="1">
      <c r="I636" s="101"/>
    </row>
    <row r="637" ht="13.5" customHeight="1">
      <c r="I637" s="101"/>
    </row>
    <row r="638" ht="13.5" customHeight="1">
      <c r="I638" s="101"/>
    </row>
    <row r="639" ht="13.5" customHeight="1">
      <c r="I639" s="101"/>
    </row>
    <row r="640" ht="13.5" customHeight="1">
      <c r="I640" s="101"/>
    </row>
    <row r="641" ht="13.5" customHeight="1">
      <c r="I641" s="101"/>
    </row>
    <row r="642" ht="13.5" customHeight="1">
      <c r="I642" s="101"/>
    </row>
    <row r="643" ht="13.5" customHeight="1">
      <c r="I643" s="101"/>
    </row>
    <row r="644" ht="13.5" customHeight="1">
      <c r="I644" s="101"/>
    </row>
    <row r="645" ht="13.5" customHeight="1">
      <c r="I645" s="101"/>
    </row>
    <row r="646" ht="13.5" customHeight="1">
      <c r="I646" s="101"/>
    </row>
    <row r="647" ht="13.5" customHeight="1">
      <c r="I647" s="101"/>
    </row>
    <row r="648" ht="13.5" customHeight="1">
      <c r="I648" s="101"/>
    </row>
    <row r="649" ht="13.5" customHeight="1">
      <c r="I649" s="101"/>
    </row>
    <row r="650" ht="13.5" customHeight="1">
      <c r="I650" s="101"/>
    </row>
    <row r="651" ht="13.5" customHeight="1">
      <c r="I651" s="101"/>
    </row>
    <row r="652" ht="13.5" customHeight="1">
      <c r="I652" s="101"/>
    </row>
    <row r="653" ht="13.5" customHeight="1">
      <c r="I653" s="101"/>
    </row>
    <row r="654" ht="13.5" customHeight="1">
      <c r="I654" s="101"/>
    </row>
    <row r="655" ht="13.5" customHeight="1">
      <c r="I655" s="101"/>
    </row>
    <row r="656" ht="13.5" customHeight="1">
      <c r="I656" s="101"/>
    </row>
    <row r="657" ht="13.5" customHeight="1">
      <c r="I657" s="101"/>
    </row>
    <row r="658" ht="13.5" customHeight="1">
      <c r="I658" s="101"/>
    </row>
    <row r="659" ht="13.5" customHeight="1">
      <c r="I659" s="101"/>
    </row>
    <row r="660" ht="13.5" customHeight="1">
      <c r="I660" s="101"/>
    </row>
    <row r="661" ht="13.5" customHeight="1">
      <c r="I661" s="101"/>
    </row>
    <row r="662" ht="13.5" customHeight="1">
      <c r="I662" s="101"/>
    </row>
    <row r="663" ht="13.5" customHeight="1">
      <c r="I663" s="101"/>
    </row>
    <row r="664" ht="13.5" customHeight="1">
      <c r="I664" s="101"/>
    </row>
    <row r="665" ht="13.5" customHeight="1">
      <c r="I665" s="101"/>
    </row>
    <row r="666" ht="13.5" customHeight="1">
      <c r="I666" s="101"/>
    </row>
    <row r="667" ht="13.5" customHeight="1">
      <c r="I667" s="101"/>
    </row>
    <row r="668" ht="13.5" customHeight="1">
      <c r="I668" s="101"/>
    </row>
    <row r="669" ht="13.5" customHeight="1">
      <c r="I669" s="101"/>
    </row>
    <row r="670" ht="13.5" customHeight="1">
      <c r="I670" s="101"/>
    </row>
    <row r="671" ht="13.5" customHeight="1">
      <c r="I671" s="101"/>
    </row>
    <row r="672" ht="13.5" customHeight="1">
      <c r="I672" s="101"/>
    </row>
    <row r="673" ht="13.5" customHeight="1">
      <c r="I673" s="101"/>
    </row>
    <row r="674" ht="13.5" customHeight="1">
      <c r="I674" s="101"/>
    </row>
    <row r="675" ht="13.5" customHeight="1">
      <c r="I675" s="101"/>
    </row>
    <row r="676" ht="13.5" customHeight="1">
      <c r="I676" s="101"/>
    </row>
    <row r="677" ht="13.5" customHeight="1">
      <c r="I677" s="101"/>
    </row>
    <row r="678" ht="13.5" customHeight="1">
      <c r="I678" s="101"/>
    </row>
    <row r="679" ht="13.5" customHeight="1">
      <c r="I679" s="101"/>
    </row>
    <row r="680" ht="13.5" customHeight="1">
      <c r="I680" s="101"/>
    </row>
    <row r="681" ht="13.5" customHeight="1">
      <c r="I681" s="101"/>
    </row>
    <row r="682" ht="13.5" customHeight="1">
      <c r="I682" s="101"/>
    </row>
    <row r="683" ht="13.5" customHeight="1">
      <c r="I683" s="101"/>
    </row>
    <row r="684" ht="13.5" customHeight="1">
      <c r="I684" s="101"/>
    </row>
    <row r="685" ht="13.5" customHeight="1">
      <c r="I685" s="101"/>
    </row>
    <row r="686" ht="13.5" customHeight="1">
      <c r="I686" s="101"/>
    </row>
    <row r="687" ht="13.5" customHeight="1">
      <c r="I687" s="101"/>
    </row>
    <row r="688" ht="13.5" customHeight="1">
      <c r="I688" s="101"/>
    </row>
    <row r="689" ht="13.5" customHeight="1">
      <c r="I689" s="101"/>
    </row>
    <row r="690" ht="13.5" customHeight="1">
      <c r="I690" s="101"/>
    </row>
    <row r="691" ht="13.5" customHeight="1">
      <c r="I691" s="101"/>
    </row>
    <row r="692" ht="13.5" customHeight="1">
      <c r="I692" s="101"/>
    </row>
    <row r="693" ht="13.5" customHeight="1">
      <c r="I693" s="101"/>
    </row>
    <row r="694" ht="13.5" customHeight="1">
      <c r="I694" s="101"/>
    </row>
    <row r="695" ht="13.5" customHeight="1">
      <c r="I695" s="101"/>
    </row>
    <row r="696" ht="13.5" customHeight="1">
      <c r="I696" s="101"/>
    </row>
    <row r="697" ht="13.5" customHeight="1">
      <c r="I697" s="101"/>
    </row>
    <row r="698" ht="13.5" customHeight="1">
      <c r="I698" s="101"/>
    </row>
    <row r="699" ht="13.5" customHeight="1">
      <c r="I699" s="101"/>
    </row>
    <row r="700" ht="13.5" customHeight="1">
      <c r="I700" s="101"/>
    </row>
    <row r="701" ht="13.5" customHeight="1">
      <c r="I701" s="101"/>
    </row>
    <row r="702" ht="13.5" customHeight="1">
      <c r="I702" s="101"/>
    </row>
    <row r="703" ht="13.5" customHeight="1">
      <c r="I703" s="101"/>
    </row>
    <row r="704" ht="13.5" customHeight="1">
      <c r="I704" s="101"/>
    </row>
    <row r="705" ht="13.5" customHeight="1">
      <c r="I705" s="101"/>
    </row>
    <row r="706" ht="13.5" customHeight="1">
      <c r="I706" s="101"/>
    </row>
    <row r="707" ht="13.5" customHeight="1">
      <c r="I707" s="101"/>
    </row>
    <row r="708" ht="13.5" customHeight="1">
      <c r="I708" s="101"/>
    </row>
    <row r="709" ht="13.5" customHeight="1">
      <c r="I709" s="101"/>
    </row>
    <row r="710" ht="13.5" customHeight="1">
      <c r="I710" s="101"/>
    </row>
    <row r="711" ht="13.5" customHeight="1">
      <c r="I711" s="101"/>
    </row>
    <row r="712" ht="13.5" customHeight="1">
      <c r="I712" s="101"/>
    </row>
    <row r="713" ht="13.5" customHeight="1">
      <c r="I713" s="101"/>
    </row>
    <row r="714" ht="13.5" customHeight="1">
      <c r="I714" s="101"/>
    </row>
    <row r="715" ht="13.5" customHeight="1">
      <c r="I715" s="101"/>
    </row>
    <row r="716" ht="13.5" customHeight="1">
      <c r="I716" s="101"/>
    </row>
    <row r="717" ht="13.5" customHeight="1">
      <c r="I717" s="101"/>
    </row>
    <row r="718" ht="13.5" customHeight="1">
      <c r="I718" s="101"/>
    </row>
    <row r="719" ht="13.5" customHeight="1">
      <c r="I719" s="101"/>
    </row>
    <row r="720" ht="13.5" customHeight="1">
      <c r="I720" s="101"/>
    </row>
    <row r="721" ht="13.5" customHeight="1">
      <c r="I721" s="101"/>
    </row>
    <row r="722" ht="13.5" customHeight="1">
      <c r="I722" s="101"/>
    </row>
    <row r="723" ht="13.5" customHeight="1">
      <c r="I723" s="101"/>
    </row>
    <row r="724" ht="13.5" customHeight="1">
      <c r="I724" s="101"/>
    </row>
    <row r="725" ht="13.5" customHeight="1">
      <c r="I725" s="101"/>
    </row>
    <row r="726" ht="13.5" customHeight="1">
      <c r="I726" s="101"/>
    </row>
    <row r="727" ht="13.5" customHeight="1">
      <c r="I727" s="101"/>
    </row>
    <row r="728" ht="13.5" customHeight="1">
      <c r="I728" s="101"/>
    </row>
    <row r="729" ht="13.5" customHeight="1">
      <c r="I729" s="101"/>
    </row>
    <row r="730" ht="13.5" customHeight="1">
      <c r="I730" s="101"/>
    </row>
    <row r="731" ht="13.5" customHeight="1">
      <c r="I731" s="101"/>
    </row>
    <row r="732" ht="13.5" customHeight="1">
      <c r="I732" s="101"/>
    </row>
    <row r="733" ht="13.5" customHeight="1">
      <c r="I733" s="101"/>
    </row>
    <row r="734" ht="13.5" customHeight="1">
      <c r="I734" s="101"/>
    </row>
    <row r="735" ht="13.5" customHeight="1">
      <c r="I735" s="101"/>
    </row>
    <row r="736" ht="13.5" customHeight="1">
      <c r="I736" s="101"/>
    </row>
    <row r="737" ht="13.5" customHeight="1">
      <c r="I737" s="101"/>
    </row>
    <row r="738" ht="13.5" customHeight="1">
      <c r="I738" s="101"/>
    </row>
    <row r="739" ht="13.5" customHeight="1">
      <c r="I739" s="101"/>
    </row>
    <row r="740" ht="13.5" customHeight="1">
      <c r="I740" s="101"/>
    </row>
    <row r="741" ht="13.5" customHeight="1">
      <c r="I741" s="101"/>
    </row>
    <row r="742" ht="13.5" customHeight="1">
      <c r="I742" s="101"/>
    </row>
    <row r="743" ht="13.5" customHeight="1">
      <c r="I743" s="101"/>
    </row>
    <row r="744" ht="13.5" customHeight="1">
      <c r="I744" s="101"/>
    </row>
    <row r="745" ht="13.5" customHeight="1">
      <c r="I745" s="101"/>
    </row>
    <row r="746" ht="13.5" customHeight="1">
      <c r="I746" s="101"/>
    </row>
    <row r="747" ht="13.5" customHeight="1">
      <c r="I747" s="101"/>
    </row>
    <row r="748" ht="13.5" customHeight="1">
      <c r="I748" s="101"/>
    </row>
    <row r="749" ht="13.5" customHeight="1">
      <c r="I749" s="101"/>
    </row>
    <row r="750" ht="13.5" customHeight="1">
      <c r="I750" s="101"/>
    </row>
    <row r="751" ht="13.5" customHeight="1">
      <c r="I751" s="101"/>
    </row>
    <row r="752" ht="13.5" customHeight="1">
      <c r="I752" s="101"/>
    </row>
    <row r="753" ht="13.5" customHeight="1">
      <c r="I753" s="101"/>
    </row>
    <row r="754" ht="13.5" customHeight="1">
      <c r="I754" s="101"/>
    </row>
    <row r="755" ht="13.5" customHeight="1">
      <c r="I755" s="101"/>
    </row>
    <row r="756" ht="13.5" customHeight="1">
      <c r="I756" s="101"/>
    </row>
    <row r="757" ht="13.5" customHeight="1">
      <c r="I757" s="101"/>
    </row>
    <row r="758" ht="13.5" customHeight="1">
      <c r="I758" s="101"/>
    </row>
    <row r="759" ht="13.5" customHeight="1">
      <c r="I759" s="101"/>
    </row>
    <row r="760" ht="13.5" customHeight="1">
      <c r="I760" s="101"/>
    </row>
    <row r="761" ht="13.5" customHeight="1">
      <c r="I761" s="101"/>
    </row>
    <row r="762" ht="13.5" customHeight="1">
      <c r="I762" s="101"/>
    </row>
    <row r="763" ht="13.5" customHeight="1">
      <c r="I763" s="101"/>
    </row>
    <row r="764" ht="13.5" customHeight="1">
      <c r="I764" s="101"/>
    </row>
    <row r="765" ht="13.5" customHeight="1">
      <c r="I765" s="101"/>
    </row>
    <row r="766" ht="13.5" customHeight="1">
      <c r="I766" s="101"/>
    </row>
    <row r="767" ht="13.5" customHeight="1">
      <c r="I767" s="101"/>
    </row>
    <row r="768" ht="13.5" customHeight="1">
      <c r="I768" s="101"/>
    </row>
    <row r="769" ht="13.5" customHeight="1">
      <c r="I769" s="101"/>
    </row>
    <row r="770" ht="13.5" customHeight="1">
      <c r="I770" s="101"/>
    </row>
    <row r="771" ht="13.5" customHeight="1">
      <c r="I771" s="101"/>
    </row>
    <row r="772" ht="13.5" customHeight="1">
      <c r="I772" s="101"/>
    </row>
    <row r="773" ht="13.5" customHeight="1">
      <c r="I773" s="101"/>
    </row>
    <row r="774" ht="13.5" customHeight="1">
      <c r="I774" s="101"/>
    </row>
    <row r="775" ht="13.5" customHeight="1">
      <c r="I775" s="101"/>
    </row>
    <row r="776" ht="13.5" customHeight="1">
      <c r="I776" s="101"/>
    </row>
    <row r="777" ht="13.5" customHeight="1">
      <c r="I777" s="101"/>
    </row>
    <row r="778" ht="13.5" customHeight="1">
      <c r="I778" s="101"/>
    </row>
    <row r="779" ht="13.5" customHeight="1">
      <c r="I779" s="101"/>
    </row>
    <row r="780" ht="13.5" customHeight="1">
      <c r="I780" s="101"/>
    </row>
    <row r="781" ht="13.5" customHeight="1">
      <c r="I781" s="101"/>
    </row>
    <row r="782" ht="13.5" customHeight="1">
      <c r="I782" s="101"/>
    </row>
    <row r="783" ht="13.5" customHeight="1">
      <c r="I783" s="101"/>
    </row>
    <row r="784" ht="13.5" customHeight="1">
      <c r="I784" s="101"/>
    </row>
    <row r="785" ht="13.5" customHeight="1">
      <c r="I785" s="101"/>
    </row>
    <row r="786" ht="13.5" customHeight="1">
      <c r="I786" s="101"/>
    </row>
    <row r="787" ht="13.5" customHeight="1">
      <c r="I787" s="101"/>
    </row>
    <row r="788" ht="13.5" customHeight="1">
      <c r="I788" s="101"/>
    </row>
    <row r="789" ht="13.5" customHeight="1">
      <c r="I789" s="101"/>
    </row>
    <row r="790" ht="13.5" customHeight="1">
      <c r="I790" s="101"/>
    </row>
    <row r="791" ht="13.5" customHeight="1">
      <c r="I791" s="101"/>
    </row>
    <row r="792" ht="13.5" customHeight="1">
      <c r="I792" s="101"/>
    </row>
    <row r="793" ht="13.5" customHeight="1">
      <c r="I793" s="101"/>
    </row>
    <row r="794" ht="13.5" customHeight="1">
      <c r="I794" s="101"/>
    </row>
    <row r="795" ht="13.5" customHeight="1">
      <c r="I795" s="101"/>
    </row>
    <row r="796" ht="13.5" customHeight="1">
      <c r="I796" s="101"/>
    </row>
    <row r="797" ht="13.5" customHeight="1">
      <c r="I797" s="101"/>
    </row>
    <row r="798" ht="13.5" customHeight="1">
      <c r="I798" s="101"/>
    </row>
    <row r="799" ht="13.5" customHeight="1">
      <c r="I799" s="101"/>
    </row>
    <row r="800" ht="13.5" customHeight="1">
      <c r="I800" s="101"/>
    </row>
    <row r="801" ht="13.5" customHeight="1">
      <c r="I801" s="101"/>
    </row>
    <row r="802" ht="13.5" customHeight="1">
      <c r="I802" s="101"/>
    </row>
    <row r="803" ht="13.5" customHeight="1">
      <c r="I803" s="101"/>
    </row>
    <row r="804" ht="13.5" customHeight="1">
      <c r="I804" s="101"/>
    </row>
    <row r="805" ht="13.5" customHeight="1">
      <c r="I805" s="101"/>
    </row>
    <row r="806" ht="13.5" customHeight="1">
      <c r="I806" s="101"/>
    </row>
    <row r="807" ht="13.5" customHeight="1">
      <c r="I807" s="101"/>
    </row>
    <row r="808" ht="13.5" customHeight="1">
      <c r="I808" s="101"/>
    </row>
    <row r="809" ht="13.5" customHeight="1">
      <c r="I809" s="101"/>
    </row>
    <row r="810" ht="13.5" customHeight="1">
      <c r="I810" s="101"/>
    </row>
    <row r="811" ht="13.5" customHeight="1">
      <c r="I811" s="101"/>
    </row>
    <row r="812" ht="13.5" customHeight="1">
      <c r="I812" s="101"/>
    </row>
    <row r="813" ht="13.5" customHeight="1">
      <c r="I813" s="101"/>
    </row>
    <row r="814" ht="13.5" customHeight="1">
      <c r="I814" s="101"/>
    </row>
    <row r="815" ht="13.5" customHeight="1">
      <c r="I815" s="101"/>
    </row>
    <row r="816" ht="13.5" customHeight="1">
      <c r="I816" s="101"/>
    </row>
    <row r="817" ht="13.5" customHeight="1">
      <c r="I817" s="101"/>
    </row>
    <row r="818" ht="13.5" customHeight="1">
      <c r="I818" s="101"/>
    </row>
    <row r="819" ht="13.5" customHeight="1">
      <c r="I819" s="101"/>
    </row>
    <row r="820" ht="13.5" customHeight="1">
      <c r="I820" s="101"/>
    </row>
    <row r="821" ht="13.5" customHeight="1">
      <c r="I821" s="101"/>
    </row>
    <row r="822" ht="13.5" customHeight="1">
      <c r="I822" s="101"/>
    </row>
    <row r="823" ht="13.5" customHeight="1">
      <c r="I823" s="101"/>
    </row>
    <row r="824" ht="13.5" customHeight="1">
      <c r="I824" s="101"/>
    </row>
    <row r="825" ht="13.5" customHeight="1">
      <c r="I825" s="101"/>
    </row>
    <row r="826" ht="13.5" customHeight="1">
      <c r="I826" s="101"/>
    </row>
    <row r="827" ht="13.5" customHeight="1">
      <c r="I827" s="101"/>
    </row>
    <row r="828" ht="13.5" customHeight="1">
      <c r="I828" s="101"/>
    </row>
    <row r="829" ht="13.5" customHeight="1">
      <c r="I829" s="101"/>
    </row>
    <row r="830" ht="13.5" customHeight="1">
      <c r="I830" s="101"/>
    </row>
    <row r="831" ht="13.5" customHeight="1">
      <c r="I831" s="101"/>
    </row>
    <row r="832" ht="13.5" customHeight="1">
      <c r="I832" s="101"/>
    </row>
    <row r="833" ht="13.5" customHeight="1">
      <c r="I833" s="101"/>
    </row>
    <row r="834" ht="13.5" customHeight="1">
      <c r="I834" s="101"/>
    </row>
    <row r="835" ht="13.5" customHeight="1">
      <c r="I835" s="101"/>
    </row>
    <row r="836" ht="13.5" customHeight="1">
      <c r="I836" s="101"/>
    </row>
    <row r="837" ht="13.5" customHeight="1">
      <c r="I837" s="101"/>
    </row>
    <row r="838" ht="13.5" customHeight="1">
      <c r="I838" s="101"/>
    </row>
    <row r="839" ht="13.5" customHeight="1">
      <c r="I839" s="101"/>
    </row>
    <row r="840" ht="13.5" customHeight="1">
      <c r="I840" s="101"/>
    </row>
    <row r="841" ht="13.5" customHeight="1">
      <c r="I841" s="101"/>
    </row>
    <row r="842" ht="13.5" customHeight="1">
      <c r="I842" s="101"/>
    </row>
    <row r="843" ht="13.5" customHeight="1">
      <c r="I843" s="101"/>
    </row>
    <row r="844" ht="13.5" customHeight="1">
      <c r="I844" s="101"/>
    </row>
    <row r="845" ht="13.5" customHeight="1">
      <c r="I845" s="101"/>
    </row>
    <row r="846" ht="13.5" customHeight="1">
      <c r="I846" s="101"/>
    </row>
    <row r="847" ht="13.5" customHeight="1">
      <c r="I847" s="101"/>
    </row>
    <row r="848" ht="13.5" customHeight="1">
      <c r="I848" s="101"/>
    </row>
    <row r="849" ht="13.5" customHeight="1">
      <c r="I849" s="101"/>
    </row>
    <row r="850" ht="13.5" customHeight="1">
      <c r="I850" s="101"/>
    </row>
    <row r="851" ht="13.5" customHeight="1">
      <c r="I851" s="101"/>
    </row>
    <row r="852" ht="13.5" customHeight="1">
      <c r="I852" s="101"/>
    </row>
    <row r="853" ht="13.5" customHeight="1">
      <c r="I853" s="101"/>
    </row>
    <row r="854" ht="13.5" customHeight="1">
      <c r="I854" s="101"/>
    </row>
    <row r="855" ht="13.5" customHeight="1">
      <c r="I855" s="101"/>
    </row>
    <row r="856" ht="13.5" customHeight="1">
      <c r="I856" s="101"/>
    </row>
    <row r="857" ht="13.5" customHeight="1">
      <c r="I857" s="101"/>
    </row>
    <row r="858" ht="13.5" customHeight="1">
      <c r="I858" s="101"/>
    </row>
    <row r="859" ht="13.5" customHeight="1">
      <c r="I859" s="101"/>
    </row>
    <row r="860" ht="13.5" customHeight="1">
      <c r="I860" s="101"/>
    </row>
    <row r="861" ht="13.5" customHeight="1">
      <c r="I861" s="101"/>
    </row>
    <row r="862" ht="13.5" customHeight="1">
      <c r="I862" s="101"/>
    </row>
    <row r="863" ht="13.5" customHeight="1">
      <c r="I863" s="101"/>
    </row>
    <row r="864" ht="13.5" customHeight="1">
      <c r="I864" s="101"/>
    </row>
    <row r="865" ht="13.5" customHeight="1">
      <c r="I865" s="101"/>
    </row>
    <row r="866" ht="13.5" customHeight="1">
      <c r="I866" s="101"/>
    </row>
    <row r="867" ht="13.5" customHeight="1">
      <c r="I867" s="101"/>
    </row>
    <row r="868" ht="13.5" customHeight="1">
      <c r="I868" s="101"/>
    </row>
    <row r="869" ht="13.5" customHeight="1">
      <c r="I869" s="101"/>
    </row>
    <row r="870" ht="13.5" customHeight="1">
      <c r="I870" s="101"/>
    </row>
    <row r="871" ht="13.5" customHeight="1">
      <c r="I871" s="101"/>
    </row>
    <row r="872" ht="13.5" customHeight="1">
      <c r="I872" s="101"/>
    </row>
    <row r="873" ht="13.5" customHeight="1">
      <c r="I873" s="101"/>
    </row>
    <row r="874" ht="13.5" customHeight="1">
      <c r="I874" s="101"/>
    </row>
    <row r="875" ht="13.5" customHeight="1">
      <c r="I875" s="101"/>
    </row>
    <row r="876" ht="13.5" customHeight="1">
      <c r="I876" s="101"/>
    </row>
    <row r="877" ht="13.5" customHeight="1">
      <c r="I877" s="101"/>
    </row>
    <row r="878" ht="13.5" customHeight="1">
      <c r="I878" s="101"/>
    </row>
    <row r="879" ht="13.5" customHeight="1">
      <c r="I879" s="101"/>
    </row>
    <row r="880" ht="13.5" customHeight="1">
      <c r="I880" s="101"/>
    </row>
    <row r="881" ht="13.5" customHeight="1">
      <c r="I881" s="101"/>
    </row>
    <row r="882" ht="13.5" customHeight="1">
      <c r="I882" s="101"/>
    </row>
    <row r="883" ht="13.5" customHeight="1">
      <c r="I883" s="101"/>
    </row>
    <row r="884" ht="13.5" customHeight="1">
      <c r="I884" s="101"/>
    </row>
    <row r="885" ht="13.5" customHeight="1">
      <c r="I885" s="101"/>
    </row>
    <row r="886" ht="13.5" customHeight="1">
      <c r="I886" s="101"/>
    </row>
    <row r="887" ht="13.5" customHeight="1">
      <c r="I887" s="101"/>
    </row>
    <row r="888" ht="13.5" customHeight="1">
      <c r="I888" s="101"/>
    </row>
    <row r="889" ht="13.5" customHeight="1">
      <c r="I889" s="101"/>
    </row>
    <row r="890" ht="13.5" customHeight="1">
      <c r="I890" s="101"/>
    </row>
    <row r="891" ht="13.5" customHeight="1">
      <c r="I891" s="101"/>
    </row>
    <row r="892" ht="13.5" customHeight="1">
      <c r="I892" s="101"/>
    </row>
    <row r="893" ht="13.5" customHeight="1">
      <c r="I893" s="101"/>
    </row>
    <row r="894" ht="13.5" customHeight="1">
      <c r="I894" s="101"/>
    </row>
    <row r="895" ht="13.5" customHeight="1">
      <c r="I895" s="101"/>
    </row>
    <row r="896" ht="13.5" customHeight="1">
      <c r="I896" s="101"/>
    </row>
    <row r="897" ht="13.5" customHeight="1">
      <c r="I897" s="101"/>
    </row>
    <row r="898" ht="13.5" customHeight="1">
      <c r="I898" s="101"/>
    </row>
    <row r="899" ht="13.5" customHeight="1">
      <c r="I899" s="101"/>
    </row>
    <row r="900" ht="13.5" customHeight="1">
      <c r="I900" s="101"/>
    </row>
    <row r="901" ht="13.5" customHeight="1">
      <c r="I901" s="101"/>
    </row>
    <row r="902" ht="13.5" customHeight="1">
      <c r="I902" s="101"/>
    </row>
    <row r="903" ht="13.5" customHeight="1">
      <c r="I903" s="101"/>
    </row>
    <row r="904" ht="13.5" customHeight="1">
      <c r="I904" s="101"/>
    </row>
    <row r="905" ht="13.5" customHeight="1">
      <c r="I905" s="101"/>
    </row>
    <row r="906" ht="13.5" customHeight="1">
      <c r="I906" s="101"/>
    </row>
    <row r="907" ht="13.5" customHeight="1">
      <c r="I907" s="101"/>
    </row>
    <row r="908" ht="13.5" customHeight="1">
      <c r="I908" s="101"/>
    </row>
    <row r="909" ht="13.5" customHeight="1">
      <c r="I909" s="101"/>
    </row>
    <row r="910" ht="13.5" customHeight="1">
      <c r="I910" s="101"/>
    </row>
    <row r="911" ht="13.5" customHeight="1">
      <c r="I911" s="101"/>
    </row>
    <row r="912" ht="13.5" customHeight="1">
      <c r="I912" s="101"/>
    </row>
    <row r="913" ht="13.5" customHeight="1">
      <c r="I913" s="101"/>
    </row>
    <row r="914" ht="13.5" customHeight="1">
      <c r="I914" s="101"/>
    </row>
    <row r="915" ht="13.5" customHeight="1">
      <c r="I915" s="101"/>
    </row>
    <row r="916" ht="13.5" customHeight="1">
      <c r="I916" s="101"/>
    </row>
    <row r="917" ht="13.5" customHeight="1">
      <c r="I917" s="101"/>
    </row>
    <row r="918" ht="13.5" customHeight="1">
      <c r="I918" s="101"/>
    </row>
    <row r="919" ht="13.5" customHeight="1">
      <c r="I919" s="101"/>
    </row>
    <row r="920" ht="13.5" customHeight="1">
      <c r="I920" s="101"/>
    </row>
    <row r="921" ht="13.5" customHeight="1">
      <c r="I921" s="101"/>
    </row>
    <row r="922" ht="13.5" customHeight="1">
      <c r="I922" s="101"/>
    </row>
    <row r="923" ht="13.5" customHeight="1">
      <c r="I923" s="101"/>
    </row>
    <row r="924" ht="13.5" customHeight="1">
      <c r="I924" s="101"/>
    </row>
    <row r="925" ht="13.5" customHeight="1">
      <c r="I925" s="101"/>
    </row>
    <row r="926" ht="13.5" customHeight="1">
      <c r="I926" s="101"/>
    </row>
    <row r="927" ht="13.5" customHeight="1">
      <c r="I927" s="101"/>
    </row>
    <row r="928" ht="13.5" customHeight="1">
      <c r="I928" s="101"/>
    </row>
    <row r="929" ht="13.5" customHeight="1">
      <c r="I929" s="101"/>
    </row>
    <row r="930" ht="13.5" customHeight="1">
      <c r="I930" s="101"/>
    </row>
    <row r="931" ht="13.5" customHeight="1">
      <c r="I931" s="101"/>
    </row>
    <row r="932" ht="13.5" customHeight="1">
      <c r="I932" s="101"/>
    </row>
    <row r="933" ht="13.5" customHeight="1">
      <c r="I933" s="101"/>
    </row>
    <row r="934" ht="13.5" customHeight="1">
      <c r="I934" s="101"/>
    </row>
    <row r="935" ht="13.5" customHeight="1">
      <c r="I935" s="101"/>
    </row>
    <row r="936" ht="13.5" customHeight="1">
      <c r="I936" s="101"/>
    </row>
    <row r="937" ht="13.5" customHeight="1">
      <c r="I937" s="101"/>
    </row>
    <row r="938" ht="13.5" customHeight="1">
      <c r="I938" s="101"/>
    </row>
    <row r="939" ht="13.5" customHeight="1">
      <c r="I939" s="101"/>
    </row>
    <row r="940" ht="13.5" customHeight="1">
      <c r="I940" s="101"/>
    </row>
    <row r="941" ht="13.5" customHeight="1">
      <c r="I941" s="101"/>
    </row>
    <row r="942" ht="13.5" customHeight="1">
      <c r="I942" s="101"/>
    </row>
    <row r="943" ht="13.5" customHeight="1">
      <c r="I943" s="101"/>
    </row>
    <row r="944" ht="13.5" customHeight="1">
      <c r="I944" s="101"/>
    </row>
    <row r="945" ht="13.5" customHeight="1">
      <c r="I945" s="101"/>
    </row>
    <row r="946" ht="13.5" customHeight="1">
      <c r="I946" s="101"/>
    </row>
    <row r="947" ht="13.5" customHeight="1">
      <c r="I947" s="101"/>
    </row>
    <row r="948" ht="13.5" customHeight="1">
      <c r="I948" s="101"/>
    </row>
    <row r="949" ht="13.5" customHeight="1">
      <c r="I949" s="101"/>
    </row>
    <row r="950" ht="13.5" customHeight="1">
      <c r="I950" s="101"/>
    </row>
    <row r="951" ht="13.5" customHeight="1">
      <c r="I951" s="101"/>
    </row>
    <row r="952" ht="13.5" customHeight="1">
      <c r="I952" s="101"/>
    </row>
    <row r="953" ht="13.5" customHeight="1">
      <c r="I953" s="101"/>
    </row>
    <row r="954" ht="13.5" customHeight="1">
      <c r="I954" s="101"/>
    </row>
    <row r="955" ht="13.5" customHeight="1">
      <c r="I955" s="101"/>
    </row>
    <row r="956" ht="13.5" customHeight="1">
      <c r="I956" s="101"/>
    </row>
    <row r="957" ht="13.5" customHeight="1">
      <c r="I957" s="101"/>
    </row>
    <row r="958" ht="13.5" customHeight="1">
      <c r="I958" s="101"/>
    </row>
    <row r="959" ht="13.5" customHeight="1">
      <c r="I959" s="101"/>
    </row>
    <row r="960" ht="13.5" customHeight="1">
      <c r="I960" s="101"/>
    </row>
    <row r="961" ht="13.5" customHeight="1">
      <c r="I961" s="101"/>
    </row>
    <row r="962" ht="13.5" customHeight="1">
      <c r="I962" s="101"/>
    </row>
    <row r="963" ht="13.5" customHeight="1">
      <c r="I963" s="101"/>
    </row>
    <row r="964" ht="13.5" customHeight="1">
      <c r="I964" s="101"/>
    </row>
    <row r="965" ht="13.5" customHeight="1">
      <c r="I965" s="101"/>
    </row>
    <row r="966" ht="13.5" customHeight="1">
      <c r="I966" s="101"/>
    </row>
    <row r="967" ht="13.5" customHeight="1">
      <c r="I967" s="101"/>
    </row>
    <row r="968" ht="13.5" customHeight="1">
      <c r="I968" s="101"/>
    </row>
    <row r="969" ht="13.5" customHeight="1">
      <c r="I969" s="101"/>
    </row>
    <row r="970" ht="13.5" customHeight="1">
      <c r="I970" s="101"/>
    </row>
    <row r="971" ht="13.5" customHeight="1">
      <c r="I971" s="101"/>
    </row>
    <row r="972" ht="13.5" customHeight="1">
      <c r="I972" s="101"/>
    </row>
    <row r="973" ht="13.5" customHeight="1">
      <c r="I973" s="101"/>
    </row>
    <row r="974" ht="13.5" customHeight="1">
      <c r="I974" s="101"/>
    </row>
    <row r="975" ht="13.5" customHeight="1">
      <c r="I975" s="101"/>
    </row>
    <row r="976" ht="13.5" customHeight="1">
      <c r="I976" s="101"/>
    </row>
    <row r="977" ht="13.5" customHeight="1">
      <c r="I977" s="101"/>
    </row>
  </sheetData>
  <mergeCells count="150">
    <mergeCell ref="C13:C14"/>
    <mergeCell ref="C16:J16"/>
    <mergeCell ref="N16:U16"/>
    <mergeCell ref="N18:N19"/>
    <mergeCell ref="Y18:Y19"/>
    <mergeCell ref="AJ18:AJ19"/>
    <mergeCell ref="AU18:AU19"/>
    <mergeCell ref="C18:C19"/>
    <mergeCell ref="C22:J22"/>
    <mergeCell ref="N22:U22"/>
    <mergeCell ref="AJ22:AQ22"/>
    <mergeCell ref="C24:C26"/>
    <mergeCell ref="N24:N26"/>
    <mergeCell ref="AJ24:AJ26"/>
    <mergeCell ref="AJ28:AQ28"/>
    <mergeCell ref="AJ30:AJ32"/>
    <mergeCell ref="C28:J28"/>
    <mergeCell ref="N28:U28"/>
    <mergeCell ref="Y28:AF28"/>
    <mergeCell ref="AU28:BB28"/>
    <mergeCell ref="N30:N32"/>
    <mergeCell ref="Y30:Y32"/>
    <mergeCell ref="AU30:AU32"/>
    <mergeCell ref="C3:J4"/>
    <mergeCell ref="N3:U4"/>
    <mergeCell ref="Y3:AF4"/>
    <mergeCell ref="AJ3:AQ4"/>
    <mergeCell ref="AU3:BB4"/>
    <mergeCell ref="C6:J6"/>
    <mergeCell ref="N6:U6"/>
    <mergeCell ref="AU6:BB6"/>
    <mergeCell ref="Y6:AF6"/>
    <mergeCell ref="AJ6:AQ6"/>
    <mergeCell ref="C8:C9"/>
    <mergeCell ref="N8:N9"/>
    <mergeCell ref="Y8:Y9"/>
    <mergeCell ref="AJ8:AJ9"/>
    <mergeCell ref="AU8:AU9"/>
    <mergeCell ref="Y13:Y14"/>
    <mergeCell ref="AJ13:AJ14"/>
    <mergeCell ref="Y16:AF16"/>
    <mergeCell ref="AJ16:AQ16"/>
    <mergeCell ref="AU16:BB16"/>
    <mergeCell ref="C11:J11"/>
    <mergeCell ref="N11:U11"/>
    <mergeCell ref="Y11:AF11"/>
    <mergeCell ref="AJ11:AQ11"/>
    <mergeCell ref="AU11:BB11"/>
    <mergeCell ref="N13:N14"/>
    <mergeCell ref="AU13:AU14"/>
    <mergeCell ref="Y22:AF22"/>
    <mergeCell ref="Y24:Y26"/>
    <mergeCell ref="AU22:BB22"/>
    <mergeCell ref="AU24:AU26"/>
    <mergeCell ref="AU34:BB34"/>
    <mergeCell ref="AU36:AU38"/>
    <mergeCell ref="AU40:BB40"/>
    <mergeCell ref="AJ47:AQ47"/>
    <mergeCell ref="AJ49:AJ51"/>
    <mergeCell ref="AJ53:AQ53"/>
    <mergeCell ref="AU53:BB53"/>
    <mergeCell ref="AU55:AU57"/>
    <mergeCell ref="AU59:BB59"/>
    <mergeCell ref="AU65:BB65"/>
    <mergeCell ref="AI87:AQ87"/>
    <mergeCell ref="AI89:AQ93"/>
    <mergeCell ref="AJ59:AQ59"/>
    <mergeCell ref="AJ65:AQ65"/>
    <mergeCell ref="AU73:AU75"/>
    <mergeCell ref="AJ78:AQ78"/>
    <mergeCell ref="AU78:BB78"/>
    <mergeCell ref="AU80:AU82"/>
    <mergeCell ref="AT87:BC87"/>
    <mergeCell ref="Y34:AF34"/>
    <mergeCell ref="Y36:Y38"/>
    <mergeCell ref="C30:C32"/>
    <mergeCell ref="C34:J34"/>
    <mergeCell ref="N34:U34"/>
    <mergeCell ref="AJ34:AQ34"/>
    <mergeCell ref="C36:C38"/>
    <mergeCell ref="N36:N38"/>
    <mergeCell ref="AJ36:AJ38"/>
    <mergeCell ref="AJ42:AJ44"/>
    <mergeCell ref="AU42:AU44"/>
    <mergeCell ref="C40:J40"/>
    <mergeCell ref="N40:U40"/>
    <mergeCell ref="Y40:AF40"/>
    <mergeCell ref="AJ40:AQ40"/>
    <mergeCell ref="C42:C44"/>
    <mergeCell ref="N42:N44"/>
    <mergeCell ref="Y42:Y44"/>
    <mergeCell ref="C47:J47"/>
    <mergeCell ref="N47:U47"/>
    <mergeCell ref="Y47:AF47"/>
    <mergeCell ref="AU47:BB47"/>
    <mergeCell ref="N49:N51"/>
    <mergeCell ref="Y49:Y51"/>
    <mergeCell ref="AU49:AU51"/>
    <mergeCell ref="C61:C63"/>
    <mergeCell ref="C65:J65"/>
    <mergeCell ref="N65:U65"/>
    <mergeCell ref="Y65:AF65"/>
    <mergeCell ref="AU61:AU63"/>
    <mergeCell ref="AU67:AU69"/>
    <mergeCell ref="AJ71:AQ71"/>
    <mergeCell ref="AU71:BB71"/>
    <mergeCell ref="C71:J71"/>
    <mergeCell ref="N71:U71"/>
    <mergeCell ref="Y71:AF71"/>
    <mergeCell ref="C73:C75"/>
    <mergeCell ref="Y73:Y75"/>
    <mergeCell ref="C78:J78"/>
    <mergeCell ref="Y80:Y82"/>
    <mergeCell ref="C94:E94"/>
    <mergeCell ref="C95:E95"/>
    <mergeCell ref="C97:J97"/>
    <mergeCell ref="H98:J100"/>
    <mergeCell ref="C80:C82"/>
    <mergeCell ref="B87:K87"/>
    <mergeCell ref="M87:V87"/>
    <mergeCell ref="X87:AG87"/>
    <mergeCell ref="C90:J90"/>
    <mergeCell ref="C91:E91"/>
    <mergeCell ref="H91:J95"/>
    <mergeCell ref="C49:C51"/>
    <mergeCell ref="C53:J53"/>
    <mergeCell ref="N53:U53"/>
    <mergeCell ref="Y53:AF53"/>
    <mergeCell ref="N55:N57"/>
    <mergeCell ref="Y55:Y57"/>
    <mergeCell ref="AJ55:AJ57"/>
    <mergeCell ref="N61:N63"/>
    <mergeCell ref="N67:N69"/>
    <mergeCell ref="AJ61:AJ63"/>
    <mergeCell ref="AJ67:AJ69"/>
    <mergeCell ref="AJ73:AJ75"/>
    <mergeCell ref="AJ80:AJ82"/>
    <mergeCell ref="C55:C57"/>
    <mergeCell ref="C59:J59"/>
    <mergeCell ref="N59:U59"/>
    <mergeCell ref="Y59:AF59"/>
    <mergeCell ref="Y61:Y63"/>
    <mergeCell ref="C67:C69"/>
    <mergeCell ref="Y67:Y69"/>
    <mergeCell ref="N78:U78"/>
    <mergeCell ref="Y78:AF78"/>
    <mergeCell ref="N73:N75"/>
    <mergeCell ref="N80:N82"/>
    <mergeCell ref="C92:E92"/>
    <mergeCell ref="C93:E93"/>
  </mergeCells>
  <hyperlinks>
    <hyperlink r:id="rId1" ref="C5"/>
    <hyperlink r:id="rId2" ref="H5"/>
    <hyperlink r:id="rId3" ref="N5"/>
    <hyperlink r:id="rId4" ref="T5"/>
    <hyperlink r:id="rId5" ref="Y5"/>
    <hyperlink r:id="rId6" ref="AD5"/>
    <hyperlink r:id="rId7" ref="AJ5"/>
    <hyperlink r:id="rId8" ref="AO5"/>
    <hyperlink r:id="rId9" ref="AU5"/>
    <hyperlink r:id="rId10" ref="AZ5"/>
  </hyperlinks>
  <printOptions/>
  <pageMargins bottom="0.75" footer="0.0" header="0.0" left="0.7" right="0.7" top="0.75"/>
  <pageSetup orientation="portrait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2024-12-11T17:55:07Z</dcterms:created>
  <dc:creator>MARIO CETINA  | | DIRECTOR COMERCIAL</dc:creator>
</cp:coreProperties>
</file>